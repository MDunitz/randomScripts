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holley/F drive documents/CSM Teaching/Responsible Raw Materials/Byproducts Papers/R2/"/>
    </mc:Choice>
  </mc:AlternateContent>
  <xr:revisionPtr revIDLastSave="0" documentId="8_{7BBA61C0-FFDD-2846-898C-1C9F14F333A7}" xr6:coauthVersionLast="47" xr6:coauthVersionMax="47" xr10:uidLastSave="{00000000-0000-0000-0000-000000000000}"/>
  <bookViews>
    <workbookView xWindow="36020" yWindow="460" windowWidth="30240" windowHeight="17780" activeTab="3" xr2:uid="{1B400769-7481-C940-B4E7-2480218D487E}"/>
  </bookViews>
  <sheets>
    <sheet name="Publicly reported cutoff grades" sheetId="2" r:id="rId1"/>
    <sheet name="Porphyry example" sheetId="4" r:id="rId2"/>
    <sheet name="Carlin example" sheetId="3" r:id="rId3"/>
    <sheet name="Cutoff scenarios in this stud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J16" i="5"/>
  <c r="H16" i="5"/>
  <c r="J15" i="5"/>
  <c r="H15" i="5"/>
  <c r="J14" i="5"/>
  <c r="H14" i="5"/>
  <c r="J13" i="5"/>
  <c r="H13" i="5"/>
  <c r="J12" i="5"/>
  <c r="H12" i="5"/>
  <c r="J11" i="5"/>
  <c r="H11" i="5"/>
  <c r="J10" i="5"/>
  <c r="H10" i="5"/>
  <c r="J9" i="5"/>
  <c r="H9" i="5"/>
  <c r="J8" i="5"/>
  <c r="H8" i="5"/>
  <c r="J7" i="5"/>
  <c r="H7" i="5"/>
  <c r="J6" i="5"/>
  <c r="H6" i="5"/>
  <c r="J5" i="5"/>
  <c r="H5" i="5"/>
  <c r="J4" i="5"/>
  <c r="H4" i="5"/>
  <c r="J3" i="5"/>
  <c r="H3" i="5"/>
  <c r="J2" i="5"/>
  <c r="H2" i="5"/>
  <c r="C19" i="3" l="1"/>
  <c r="D19" i="3"/>
  <c r="E1" i="3" l="1"/>
</calcChain>
</file>

<file path=xl/sharedStrings.xml><?xml version="1.0" encoding="utf-8"?>
<sst xmlns="http://schemas.openxmlformats.org/spreadsheetml/2006/main" count="732" uniqueCount="338">
  <si>
    <t>citation</t>
  </si>
  <si>
    <t>Ni</t>
  </si>
  <si>
    <t>Mo</t>
  </si>
  <si>
    <t>Climax</t>
  </si>
  <si>
    <t>Eagle</t>
  </si>
  <si>
    <t>Henderson</t>
  </si>
  <si>
    <t>https://minedocs.com/23/Eagle-TR-12312022.pdf</t>
  </si>
  <si>
    <t>Cu</t>
  </si>
  <si>
    <t>Deposit Type</t>
  </si>
  <si>
    <t>Mine Name</t>
  </si>
  <si>
    <t>Main Product Commodity</t>
  </si>
  <si>
    <t>Reduced Intrusion Related Gold</t>
  </si>
  <si>
    <t>Pogo</t>
  </si>
  <si>
    <t>Au</t>
  </si>
  <si>
    <t>Carlin-Type</t>
  </si>
  <si>
    <t>All NGM</t>
  </si>
  <si>
    <t>Marigold</t>
  </si>
  <si>
    <t>Pan</t>
  </si>
  <si>
    <t>Alkalic Epithermal Gold</t>
  </si>
  <si>
    <t>CC&amp;V</t>
  </si>
  <si>
    <t>Coeur Wharf</t>
  </si>
  <si>
    <t xml:space="preserve">Moss </t>
  </si>
  <si>
    <t>Mesquite</t>
  </si>
  <si>
    <t>Castle Mountain</t>
  </si>
  <si>
    <t>Soledad Mountain</t>
  </si>
  <si>
    <t>Bald Mountain</t>
  </si>
  <si>
    <t>Rochester</t>
  </si>
  <si>
    <t>Florida Canyon</t>
  </si>
  <si>
    <t>Isabella Pearl</t>
  </si>
  <si>
    <t>Haile Gold</t>
  </si>
  <si>
    <t>Kiewit</t>
  </si>
  <si>
    <t>Mesozonal Orogenic Gold</t>
  </si>
  <si>
    <t>LS Epithermal Gold Silver</t>
  </si>
  <si>
    <t>Kensington</t>
  </si>
  <si>
    <t>Skarn Gold</t>
  </si>
  <si>
    <t>Manh Choh</t>
  </si>
  <si>
    <t>Climax-Type Porphyry Molybendenum</t>
  </si>
  <si>
    <t>Porphyry Copper Gold and Porphyry Copper Molybendum</t>
  </si>
  <si>
    <t>Morenci Inc.</t>
  </si>
  <si>
    <t>Miami Inc</t>
  </si>
  <si>
    <t>Silver Bell Mining LLC</t>
  </si>
  <si>
    <t>Mission/San</t>
  </si>
  <si>
    <t>Bagdad Inc</t>
  </si>
  <si>
    <t>Sierrita</t>
  </si>
  <si>
    <t>Pinto Valley</t>
  </si>
  <si>
    <t>Carlota Copper Company</t>
  </si>
  <si>
    <t>Safford</t>
  </si>
  <si>
    <t>Continental</t>
  </si>
  <si>
    <t>Robinson</t>
  </si>
  <si>
    <t>Tyrone</t>
  </si>
  <si>
    <t>Chino Mines Co</t>
  </si>
  <si>
    <t>Bingham Canyon</t>
  </si>
  <si>
    <t>Ultramafic intrusion/layered intrusion/conduit nickle copper PGE</t>
  </si>
  <si>
    <t>Orogenic Silver Lead Zinc Copper Antimony</t>
  </si>
  <si>
    <t>Galena</t>
  </si>
  <si>
    <t>Lucky Friday</t>
  </si>
  <si>
    <t>Bimodal Felsic Volcanogenic Massive Sulfide</t>
  </si>
  <si>
    <t>Greens Creek</t>
  </si>
  <si>
    <t>Ag</t>
  </si>
  <si>
    <t>Mississippi Valley Type Zn-Pb</t>
  </si>
  <si>
    <t>All Doe Run</t>
  </si>
  <si>
    <t>Coe, Young, Immel</t>
  </si>
  <si>
    <t>Middle Tennessee</t>
  </si>
  <si>
    <t>Siliclastic Cabonate Zn-Pb</t>
  </si>
  <si>
    <t>Empire State</t>
  </si>
  <si>
    <t>Red Dog</t>
  </si>
  <si>
    <t>Carbonatite</t>
  </si>
  <si>
    <t>Mountain Pass</t>
  </si>
  <si>
    <t>Ultramafic Layered Intrusion PGE</t>
  </si>
  <si>
    <t>Zn</t>
  </si>
  <si>
    <t>REO</t>
  </si>
  <si>
    <t>Stillwater</t>
  </si>
  <si>
    <t>East Boulder</t>
  </si>
  <si>
    <t>Superior-type banded iron formation</t>
  </si>
  <si>
    <t>Dudley Red</t>
  </si>
  <si>
    <t>Northshore</t>
  </si>
  <si>
    <t>Minntac</t>
  </si>
  <si>
    <t>Hibbing</t>
  </si>
  <si>
    <t>Minroca</t>
  </si>
  <si>
    <t>Fe</t>
  </si>
  <si>
    <t>PGE</t>
  </si>
  <si>
    <t>value</t>
  </si>
  <si>
    <t>NSR</t>
  </si>
  <si>
    <t>137.86 $/t</t>
  </si>
  <si>
    <t>Fort Knox</t>
  </si>
  <si>
    <t>https://s2.q4cdn.com/496390694/files/doc_downloads/2018/Fort-Knox-June-2018-Technical-Report.pdf</t>
  </si>
  <si>
    <t>notes</t>
  </si>
  <si>
    <t>&gt;0.10 g/t</t>
  </si>
  <si>
    <t>0.360 ounce/ton</t>
  </si>
  <si>
    <t>proven and probable reserves on page 16</t>
  </si>
  <si>
    <t>https://dnr.alaska.gov/mlw/mining/large-mines/pogo/pdf/2017operations/pogo_poo_rev1.pdf</t>
  </si>
  <si>
    <t>https://s25.q4cdn.com/322814910/files/doc_downloads/ngm/Carlin_Complex_TechnicalReport_14032025.pdf</t>
  </si>
  <si>
    <t>g/t ((0.27+0.25+0.21+0.36)/4) nonref grade, page 188 table 14-20 includes cutoff grades for non refractory and refractory gold for both open and underground</t>
  </si>
  <si>
    <t>0.069 g/t</t>
  </si>
  <si>
    <t>https://minedocs.com/19/Marigold-TRS-09302023.pdf</t>
  </si>
  <si>
    <t>table 1-3, on page 1-1, table includes the cutt of grade for in-situ, heap leach, and leahc pad inventory</t>
  </si>
  <si>
    <t>0.20 g/t</t>
  </si>
  <si>
    <t>found on page three under 1.2.1 also shown as 0.006 oz/ton</t>
  </si>
  <si>
    <t>https://minedocs.com/24/Pan-TR-12312022.pdf</t>
  </si>
  <si>
    <t>0.35-040 g/t</t>
  </si>
  <si>
    <t>https://s22.q4cdn.com/546540291/files/doc_news/2025/Mar/31/SSR-MINING-PROVIDES-2025-OPERATING-GUIDANCE.pdf</t>
  </si>
  <si>
    <t>0.12 oz/st</t>
  </si>
  <si>
    <t>https://s201.q4cdn.com/254090064/files/doc_downloads/operations/Wharf.pdf</t>
  </si>
  <si>
    <t>Found on page 1-7, right above 1.10.2 another grade is found for what gets sent to heap leach</t>
  </si>
  <si>
    <t>0.15 g/t</t>
  </si>
  <si>
    <t>https://minedocs.com/22/Moss-TR-07012021.pdf</t>
  </si>
  <si>
    <t>Found on page 1-4 in tablee 1.2  cutoff grade as measured</t>
  </si>
  <si>
    <t>Hard to find information since its changed hands, but found on the bottom on page 3</t>
  </si>
  <si>
    <t>0.14-0.31 g/t</t>
  </si>
  <si>
    <t>15.2.3 on page 15-4</t>
  </si>
  <si>
    <t>https://www.equinoxgold.com/wp-content/uploads/2023/01/2020-Mesquite.pdf</t>
  </si>
  <si>
    <t>0.17g/t</t>
  </si>
  <si>
    <t xml:space="preserve">page 16-14 under 16.4.2 </t>
  </si>
  <si>
    <t>https://minedocs.com/21/CastleMountain_FS_02262021.pdf</t>
  </si>
  <si>
    <t>0.004 oz/ton</t>
  </si>
  <si>
    <t>page 1-9 under 1.12</t>
  </si>
  <si>
    <t>https://minedocs.com/20/SoledadMountain_Feasibility_Report_02252015.pdf</t>
  </si>
  <si>
    <t>2.55-2.65 $/t</t>
  </si>
  <si>
    <t>https://s201.q4cdn.com/254090064/files/doc_downloads/operations/Rochester.pdf</t>
  </si>
  <si>
    <t>Table 12-2 page 12-4, uses NSR because its polymetallic</t>
  </si>
  <si>
    <t>0.48 g/t</t>
  </si>
  <si>
    <t>https://www.sedarplus.ca/csa-party/viewInstance/view.html?id=0c11f8b7998bcd965f703f8e4d289ccce7415e9f640b1491&amp;_timestamp=12066007600081136#</t>
  </si>
  <si>
    <t>at the very top of page 21 in a tabe</t>
  </si>
  <si>
    <t>Table 6-1 page 40</t>
  </si>
  <si>
    <t>https://wp-integraresources-2024.s3.ca-central-1.amazonaws.com/media/2024/11/fcgv-2024-07-12-technical-report-ni-43-101-florida-canyon.pdf</t>
  </si>
  <si>
    <t>0.3-0.6 g/t</t>
  </si>
  <si>
    <t>0.0043-0.0051 oz/t</t>
  </si>
  <si>
    <t>Page 49 right above section 7.2.5</t>
  </si>
  <si>
    <t>https://minedocs.com/24/Isabella-Pearl-TR-12312022.pdf</t>
  </si>
  <si>
    <t>1.67 g/t</t>
  </si>
  <si>
    <t>underground cutoff table 1-7 page 24</t>
  </si>
  <si>
    <t>https://minedocs.com/22/Haile-TR-12312021.pdf</t>
  </si>
  <si>
    <t>0.2 g/t</t>
  </si>
  <si>
    <t>https://www.cliftonmining.com/content/IndependentKiewit.pdf</t>
  </si>
  <si>
    <t>table 1.1 page 6</t>
  </si>
  <si>
    <t>1.7 g/t</t>
  </si>
  <si>
    <t>https://solitarioxr.com/news/09162024.pdf</t>
  </si>
  <si>
    <t>in title, hard to find any tech reports</t>
  </si>
  <si>
    <t>0.142-0.201 oz/st</t>
  </si>
  <si>
    <t>https://s201.q4cdn.com/254090064/files/doc_downloads/operations/Kensington-TR.pdf</t>
  </si>
  <si>
    <t>12.6 cut off grade page 12-2</t>
  </si>
  <si>
    <t>2.50 g/t</t>
  </si>
  <si>
    <t>table 12-3 page 12-3</t>
  </si>
  <si>
    <t>https://assets.website-files.com/5fc5d36fd44fd675102e4420/6470afdaf94d2ac9f93d93e0_SIMS%20Contango%20Manh%20Choh%20Project%20S-K%201300%20TRS%20FINAL%2020230524%20(1)-compressed.pdf</t>
  </si>
  <si>
    <t>https://pubs.usgs.gov/of/1992/ofr-92-0248/OF92-248.pdf</t>
  </si>
  <si>
    <t>page 3</t>
  </si>
  <si>
    <t>https://www.fcx.com/sites/fcx/files/documents/operations/TRS-morenci.pdf</t>
  </si>
  <si>
    <t xml:space="preserve">Table 1.1 page 7 also includes a cuttoff for mo, using cutoff for open pit </t>
  </si>
  <si>
    <t>0.17-0.21%</t>
  </si>
  <si>
    <t>https://minedocs.com/21/PintoValley_TR_06112021.pdf</t>
  </si>
  <si>
    <t>Table 1.2 page 4</t>
  </si>
  <si>
    <t>N/A</t>
  </si>
  <si>
    <t>https://s22.q4cdn.com/529358580/files/doc_financials/annual/AR_2024.pdf</t>
  </si>
  <si>
    <t>page 105, only reports .1 billion lbs of copper</t>
  </si>
  <si>
    <t>page 105</t>
  </si>
  <si>
    <t>page 105, moly at 0.02%</t>
  </si>
  <si>
    <t>page 105, moly at 0.03%</t>
  </si>
  <si>
    <t>Cannot find anything on asarco or grupo mexico</t>
  </si>
  <si>
    <t>http://docs.azgs.az.gov/OnlineAccessMineFiles/Pubs/2013-02-0456.pdf</t>
  </si>
  <si>
    <t>mag Fe page 76</t>
  </si>
  <si>
    <t>https://minedocs.com/22/Northshore-TR-12312021.pdf</t>
  </si>
  <si>
    <t>https://minedocs.com/22/Minorca-TR-12312021.pdf</t>
  </si>
  <si>
    <t>mag Fe page 107</t>
  </si>
  <si>
    <t>https://minedocs.com/22/Hibbing-Taconite-TR-12312021.pdf</t>
  </si>
  <si>
    <t>crude mag fe page 119</t>
  </si>
  <si>
    <t xml:space="preserve">page 13 </t>
  </si>
  <si>
    <t>http://docs.azgs.az.gov/OnlineAccessMineFiles/C-F/CarlotaProperty1of5GilaT1NR13ESec36.pdf</t>
  </si>
  <si>
    <t>mag fe page 38</t>
  </si>
  <si>
    <t>https://d1io3yog0oux5.cloudfront.net/_07ddb1c475d93330c8f2456c97c8674b/ussteel/db/3222/30246/annual_report/FINAL+USS_2024+Annual+Report_with10K_%28no+exhibits%29.pdf</t>
  </si>
  <si>
    <t>https://minedocs.com/20/Stillwater_032011.pdf</t>
  </si>
  <si>
    <t>page 4 table 3.1</t>
  </si>
  <si>
    <t>12.1.2 pge 154</t>
  </si>
  <si>
    <t>https://minedocs.com/28/Mountain-Pass-TR-10012024.pdf</t>
  </si>
  <si>
    <t>table 1-1 page 7</t>
  </si>
  <si>
    <t>https://minedocs.com/12/Red%20Dog%20Mine_TR12312016.pdf</t>
  </si>
  <si>
    <t>table 16-4, page 16-212</t>
  </si>
  <si>
    <t>https://titanminingcorp.com/_resources/reports/January_2025_Empire_State_Mines_NI-43-101_Technical_Report.pdf?v=030212</t>
  </si>
  <si>
    <t>table 6-1 under 6.2 page 19</t>
  </si>
  <si>
    <t>https://minedocs.com/23/Middle-Tennessee-TR-12312021.pdf</t>
  </si>
  <si>
    <t>Page 4 second paragraph lists cut off for all three mines, one reported is for immel and is the lowest</t>
  </si>
  <si>
    <t>https://minedocs.com/11/Nyrstar_Reserves_2018.pdf</t>
  </si>
  <si>
    <t>215$/ton</t>
  </si>
  <si>
    <t>https://www.hecla.com/wp-content/uploads/SLR-Hecla-Greens-Creek-FINAL-S-K-1300-TRS-21-Feb-2022-rev_web-1.pdf</t>
  </si>
  <si>
    <t xml:space="preserve">table 11-11 page 11-27 </t>
  </si>
  <si>
    <t>208$/ton</t>
  </si>
  <si>
    <t>12.3 on page 12-3</t>
  </si>
  <si>
    <t>https://www.hecla.com/wp-content/uploads/SLR-Hecla-Lucky-Friday-FINAL-S-K-1300-TRS-21-Feb-2022-rev_web.pdf</t>
  </si>
  <si>
    <t>9 oz</t>
  </si>
  <si>
    <t>https://minedocs.com/12/Galena_12302016_TR.pdf</t>
  </si>
  <si>
    <t>table 15-1 on page 78</t>
  </si>
  <si>
    <t>90$</t>
  </si>
  <si>
    <t xml:space="preserve">page five </t>
  </si>
  <si>
    <t>https://minedocs.com/23/Kennecott_PR_09272022.pdf</t>
  </si>
  <si>
    <t>Table 1.1page 1-2, range of cut off grades deom 0.10-1.0%</t>
  </si>
  <si>
    <t>https://minedocs.com/25/Robinson-TR-02122009.pdf</t>
  </si>
  <si>
    <t>table op-3-1 page op-3-3</t>
  </si>
  <si>
    <t>https://www.montanaresources.com/wp-content/uploads/2024/11/Operations-Plan-2023.pdf</t>
  </si>
  <si>
    <t>Average Grade</t>
  </si>
  <si>
    <t>Non-refract and Refract Au Cutoff Grade</t>
  </si>
  <si>
    <t>Cutoff Grade</t>
  </si>
  <si>
    <t>Cutoff Grade (Ag %eq)</t>
  </si>
  <si>
    <t>TREOCutoff Grade</t>
  </si>
  <si>
    <t>Deposit</t>
  </si>
  <si>
    <t>Non-Refractory Cutoff Grade (g/t)</t>
  </si>
  <si>
    <t>Refractory Cutoff Grade (g/t)</t>
  </si>
  <si>
    <t>Open Pit</t>
  </si>
  <si>
    <t>Gold Quarry</t>
  </si>
  <si>
    <t>GoldStar</t>
  </si>
  <si>
    <t>GoldStrike</t>
  </si>
  <si>
    <t>Green Lantern</t>
  </si>
  <si>
    <t>South Arturo OP</t>
  </si>
  <si>
    <t>Underground</t>
  </si>
  <si>
    <t>South Arturo UG</t>
  </si>
  <si>
    <t>Exodus</t>
  </si>
  <si>
    <t>Fallon</t>
  </si>
  <si>
    <t>Goldstrike</t>
  </si>
  <si>
    <t>Leeville</t>
  </si>
  <si>
    <t>Pete Bajo</t>
  </si>
  <si>
    <t>Ren</t>
  </si>
  <si>
    <t>Rita K</t>
  </si>
  <si>
    <t>Lower and higher bounds, presented as a range for UG</t>
  </si>
  <si>
    <t>Grade</t>
  </si>
  <si>
    <t>Value</t>
  </si>
  <si>
    <t>Year</t>
  </si>
  <si>
    <t>Citation</t>
  </si>
  <si>
    <t>notes: on page 32, all represented as a copper eq cuttof grade, precent, or a molybdenum cutoff grade precent</t>
  </si>
  <si>
    <t>Cu Eq% Mill</t>
  </si>
  <si>
    <t>Mo Eq% Mill</t>
  </si>
  <si>
    <t>https://s22.q4cdn.com/529358580/files/doc_financials/10-K/10_k2016.pdf</t>
  </si>
  <si>
    <t>notes: on page 33, all represented as a copper eq cuttof grade, precent, or a molybdenum cutoff grade precent</t>
  </si>
  <si>
    <t>https://s22.q4cdn.com/529358580/files/doc_financials/10-K/10_K2014.pdf</t>
  </si>
  <si>
    <t>https://s22.q4cdn.com/529358580/files/doc_financials/10-K/10_k2015.pdf</t>
  </si>
  <si>
    <t>notes: on page 36, all represented as a copper eq cuttof grade, precent, or a molybdenum cutoff grade precent</t>
  </si>
  <si>
    <t>notes: on page 31, all represented as a copper eq cuttof grade, precent, or a molybdenum cutoff grade precent</t>
  </si>
  <si>
    <t>https://s22.q4cdn.com/529358580/files/doc_financials/10-K/10_k2017.pdf</t>
  </si>
  <si>
    <t>https://s22.q4cdn.com/529358580/files/doc_financials/10-K/10_k2018.pdf</t>
  </si>
  <si>
    <t>notes: on page 30, all represented as a copper eq cuttof grade, precent, or a molybdenum cutoff grade precent</t>
  </si>
  <si>
    <t>https://s22.q4cdn.com/529358580/files/doc_financials/10-K/10_k2019.pdf</t>
  </si>
  <si>
    <t>https://s22.q4cdn.com/529358580/files/doc_financials/10-K/10_k2020.pdf</t>
  </si>
  <si>
    <t>notes: on page 35, all represented as a copper eq cuttof grade, precent, or a molybdenum cutoff grade precent</t>
  </si>
  <si>
    <t>https://s22.q4cdn.com/529358580/files/doc_financials/10-K/10_k2021.pdf</t>
  </si>
  <si>
    <t>notes: on page 37, all represented as a copper eq cuttof grade, precent, or a molybdenum cutoff grade precent</t>
  </si>
  <si>
    <t>https://s22.q4cdn.com/529358580/files/doc_financials/10-K/10_k2022.pdf</t>
  </si>
  <si>
    <t>notes: on page 41, all represented as a copper eq cuttof grade, precent, or a molybdenum cutoff grade precent</t>
  </si>
  <si>
    <t>notes: on page 40, all represented as a copper eq cuttof grade, precent, or a molybdenum cutoff grade precent</t>
  </si>
  <si>
    <t>https://s22.q4cdn.com/529358580/files/doc_financials/10-K/10_k2023.pdf</t>
  </si>
  <si>
    <t>https://s22.q4cdn.com/529358580/files/doc_financials/10-K/10_k2024.pdf</t>
  </si>
  <si>
    <t>average</t>
  </si>
  <si>
    <t>SSR</t>
  </si>
  <si>
    <t>Calibre Gold</t>
  </si>
  <si>
    <t>NGM</t>
  </si>
  <si>
    <t>taken from figure 16-3 which is a cross section that shows current mining surfance and block modeled grades</t>
  </si>
  <si>
    <t>0.27 g/t (avg non refractory); 4.68 g/t (avg refractory)</t>
  </si>
  <si>
    <t>What is the tech report using to calculate resource</t>
  </si>
  <si>
    <t>Golden Chest</t>
  </si>
  <si>
    <t>Sed Hosted Cu</t>
  </si>
  <si>
    <t>Libson Valley</t>
  </si>
  <si>
    <t>https://www.pitecreative.com/staging/CCU/art/lisbon/PAH_REVISED_Final_9_27.pdf</t>
  </si>
  <si>
    <t>found page 1.2</t>
  </si>
  <si>
    <t>Deposit type</t>
  </si>
  <si>
    <t>12.5 Percentile Cutoff (all CMMI with main product &lt; cutoff were removed)</t>
  </si>
  <si>
    <t>25 Percentile Cutoff (all CMMI with main product &lt; cutoff were removed)</t>
  </si>
  <si>
    <t>50 Percentile Cutoff (all CMMI with main product &lt; cutoff were removed)</t>
  </si>
  <si>
    <t>Units</t>
  </si>
  <si>
    <t>Avg Crustal Abundance</t>
  </si>
  <si>
    <t>RIRG</t>
  </si>
  <si>
    <t>ppb Au</t>
  </si>
  <si>
    <t>Carlin</t>
  </si>
  <si>
    <t>Alkalic</t>
  </si>
  <si>
    <t>LS epi</t>
  </si>
  <si>
    <t>Mesozonal</t>
  </si>
  <si>
    <t>Skarn</t>
  </si>
  <si>
    <t>Climax-type</t>
  </si>
  <si>
    <t>ppm Mo</t>
  </si>
  <si>
    <t>Porphyry Cu</t>
  </si>
  <si>
    <t>ppm Cu</t>
  </si>
  <si>
    <t>Sed Cu</t>
  </si>
  <si>
    <t>Magmatic Ni</t>
  </si>
  <si>
    <t>ppm Ni</t>
  </si>
  <si>
    <t>Orogenic Ag</t>
  </si>
  <si>
    <t>ppm Ag</t>
  </si>
  <si>
    <t>Bimodal Ag</t>
  </si>
  <si>
    <t>MVT</t>
  </si>
  <si>
    <t>ppm Zn</t>
  </si>
  <si>
    <t>Silciclastic</t>
  </si>
  <si>
    <t>REE</t>
  </si>
  <si>
    <t>ppm REO</t>
  </si>
  <si>
    <t>ppm Pt+Pd</t>
  </si>
  <si>
    <t>0.005 (Pt), 0.015 (Pd), 0.02 (Pt+Pd)</t>
  </si>
  <si>
    <t>ppm</t>
  </si>
  <si>
    <t>0.05 (Pt), 0.15 (Pd), 0.2 (Pt+Pd)</t>
  </si>
  <si>
    <t>0.1 (Pt), 0.3 (Pd), 0.4 (Pt+Pd)</t>
  </si>
  <si>
    <t>Superior BIF</t>
  </si>
  <si>
    <t>ppm Fe</t>
  </si>
  <si>
    <t>Resources 2017, 6, 39; doi:10.3390/resources6030039</t>
  </si>
  <si>
    <t>Reisman, D.J.; Weber, R.J. Rare Earth Elements: A Review of Production, Processing, Recycling, and Associated</t>
  </si>
  <si>
    <t>Environmental Issues; U.S. Environmental Protection Agency: Cincinnati, OH, USA, 2012.</t>
  </si>
  <si>
    <t>Haque, N.; Hughes, A.; Lim, S.; Vernon, C. Rare earth elements: Overview of mining, mineralogy, uses,</t>
  </si>
  <si>
    <t>sustainability and environmental impact. Resources 2014, 3, 614–635.</t>
  </si>
  <si>
    <t>Elemental avg crustal abundances:</t>
  </si>
  <si>
    <t>REO avg crustal abundance:</t>
  </si>
  <si>
    <r>
      <t xml:space="preserve">Abundance of Elements in the Earth's Crust and in the Sea", </t>
    </r>
    <r>
      <rPr>
        <i/>
        <sz val="12"/>
        <color theme="1"/>
        <rFont val="Times New Roman"/>
        <family val="1"/>
      </rPr>
      <t>CRC Handbook of Chemistry and Physics,</t>
    </r>
    <r>
      <rPr>
        <sz val="12"/>
        <color theme="1"/>
        <rFont val="Times New Roman"/>
        <family val="1"/>
      </rPr>
      <t xml:space="preserve"> 97th edition (2016–2017), sec. 14, pg. 17</t>
    </r>
  </si>
  <si>
    <t>Columns in bold were used as cutoff scenarios in this study.</t>
  </si>
  <si>
    <t>10x Crustal Abundance (all CMMI with main product &lt; cutoff were removed)</t>
  </si>
  <si>
    <t>20x Crustal abundance (all CMMI with main product &lt; cutoff were removed)</t>
  </si>
  <si>
    <t>100 ppb avg grade</t>
  </si>
  <si>
    <t>&gt;.1 g/t avg grade</t>
  </si>
  <si>
    <t>69 to 4,690 ppb</t>
  </si>
  <si>
    <t>Carlin 0.069 g/t is 69 ppb. 0.27 is 270 ppb. 4.69 ppm is 4,690 ppb</t>
  </si>
  <si>
    <t>3080 ppb</t>
  </si>
  <si>
    <t>3.4 g/short ton is 3.08 g/t</t>
  </si>
  <si>
    <t>100 to 1670 ppb</t>
  </si>
  <si>
    <t>about 0.1 to 1.67 g/t</t>
  </si>
  <si>
    <t>1700 to 5000 ppb</t>
  </si>
  <si>
    <t>1.7 to 5 g/t</t>
  </si>
  <si>
    <t>2500 ppb</t>
  </si>
  <si>
    <t>2.5 g/t</t>
  </si>
  <si>
    <t>500 to 1300 ppm</t>
  </si>
  <si>
    <t>0.05 to 0.13%</t>
  </si>
  <si>
    <t>900 and up ppm</t>
  </si>
  <si>
    <t>900 is 0.09%, the lower end of recent Cu porphyry reported cutoff grades. 3000 (Mauk) not justified</t>
  </si>
  <si>
    <t xml:space="preserve">100,000 ppm </t>
  </si>
  <si>
    <t>10% Cu</t>
  </si>
  <si>
    <t>NSR is about 8900 ppm pure Ni</t>
  </si>
  <si>
    <t>137.86$/ton</t>
  </si>
  <si>
    <t>255 ppm</t>
  </si>
  <si>
    <t>NSR and 9 oz</t>
  </si>
  <si>
    <t>NSR is about 2.15 ppm pure Ag</t>
  </si>
  <si>
    <t>215$/ton @ $1mil/ton</t>
  </si>
  <si>
    <t>19,000 to 20,000 ppm</t>
  </si>
  <si>
    <t>1.9 to 2%</t>
  </si>
  <si>
    <t>55,000 to 77,000 ppm</t>
  </si>
  <si>
    <t>5.5 to 7.7%</t>
  </si>
  <si>
    <t>0.5 ppm</t>
  </si>
  <si>
    <t>0.4 to 0.63 ppm</t>
  </si>
  <si>
    <t>First quartile is about 15% (reported cutoff)</t>
  </si>
  <si>
    <t>Estimated mining grades</t>
  </si>
  <si>
    <t>Summary of Publicly reported cutoff grades (see separate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</si>
</sst>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10" fontId="2" fillId="0" borderId="0" xfId="0" applyNumberFormat="1" applyFont="1" applyAlignment="1">
      <alignment horizontal="left" vertical="top" wrapText="1"/>
    </xf>
    <xf numFmtId="0" fontId="3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1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left" vertical="top" wrapText="1"/>
    </xf>
    <xf numFmtId="9" fontId="2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nedocs.com/25/Robinson-TR-02122009.pdf" TargetMode="External"/><Relationship Id="rId3" Type="http://schemas.openxmlformats.org/officeDocument/2006/relationships/hyperlink" Target="https://minedocs.com/24/Isabella-Pearl-TR-12312022.pdf" TargetMode="External"/><Relationship Id="rId7" Type="http://schemas.openxmlformats.org/officeDocument/2006/relationships/hyperlink" Target="https://www.hecla.com/wp-content/uploads/SLR-Hecla-Lucky-Friday-FINAL-S-K-1300-TRS-21-Feb-2022-rev_web.pdf" TargetMode="External"/><Relationship Id="rId2" Type="http://schemas.openxmlformats.org/officeDocument/2006/relationships/hyperlink" Target="https://minedocs.com/21/CastleMountain_FS_02262021.pdf" TargetMode="External"/><Relationship Id="rId1" Type="http://schemas.openxmlformats.org/officeDocument/2006/relationships/hyperlink" Target="https://minedocs.com/23/Eagle-TR-12312022.pdf" TargetMode="External"/><Relationship Id="rId6" Type="http://schemas.openxmlformats.org/officeDocument/2006/relationships/hyperlink" Target="https://minedocs.com/23/Middle-Tennessee-TR-12312021.pdf" TargetMode="External"/><Relationship Id="rId5" Type="http://schemas.openxmlformats.org/officeDocument/2006/relationships/hyperlink" Target="https://assets.website-files.com/5fc5d36fd44fd675102e4420/6470afdaf94d2ac9f93d93e0_SIMS%20Contango%20Manh%20Choh%20Project%20S-K%201300%20TRS%20FINAL%2020230524%20(1)-compressed.pdf" TargetMode="External"/><Relationship Id="rId10" Type="http://schemas.openxmlformats.org/officeDocument/2006/relationships/hyperlink" Target="https://minedocs.com/19/Marigold-TRS-09302023.pdf" TargetMode="External"/><Relationship Id="rId4" Type="http://schemas.openxmlformats.org/officeDocument/2006/relationships/hyperlink" Target="https://minedocs.com/22/Haile-TR-12312021.pdf" TargetMode="External"/><Relationship Id="rId9" Type="http://schemas.openxmlformats.org/officeDocument/2006/relationships/hyperlink" Target="https://www.montanaresources.com/wp-content/uploads/2024/11/Operations-Plan-202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inedocs.com/19/Marigold-TRS-0930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B52-3842-FE40-9CE0-0EEF4853FC17}">
  <dimension ref="A1:G57"/>
  <sheetViews>
    <sheetView topLeftCell="A38" zoomScaleNormal="100" workbookViewId="0">
      <selection activeCell="A38" sqref="A1:XFD1048576"/>
    </sheetView>
  </sheetViews>
  <sheetFormatPr baseColWidth="10" defaultRowHeight="16" x14ac:dyDescent="0.2"/>
  <cols>
    <col min="1" max="5" width="10.83203125" style="3"/>
    <col min="6" max="6" width="28.6640625" style="3" customWidth="1"/>
    <col min="7" max="7" width="46.1640625" style="3" customWidth="1"/>
    <col min="8" max="16384" width="10.83203125" style="3"/>
  </cols>
  <sheetData>
    <row r="1" spans="1:7" ht="85" x14ac:dyDescent="0.2">
      <c r="A1" s="11" t="s">
        <v>8</v>
      </c>
      <c r="B1" s="11" t="s">
        <v>9</v>
      </c>
      <c r="C1" s="11" t="s">
        <v>10</v>
      </c>
      <c r="D1" s="11" t="s">
        <v>253</v>
      </c>
      <c r="E1" s="11" t="s">
        <v>81</v>
      </c>
      <c r="F1" s="11" t="s">
        <v>0</v>
      </c>
      <c r="G1" s="11" t="s">
        <v>86</v>
      </c>
    </row>
    <row r="2" spans="1:7" ht="68" x14ac:dyDescent="0.2">
      <c r="A2" s="5" t="s">
        <v>11</v>
      </c>
      <c r="B2" s="6" t="s">
        <v>84</v>
      </c>
      <c r="C2" s="5" t="s">
        <v>13</v>
      </c>
      <c r="D2" s="6" t="s">
        <v>197</v>
      </c>
      <c r="E2" s="6" t="s">
        <v>87</v>
      </c>
      <c r="F2" s="6" t="s">
        <v>85</v>
      </c>
      <c r="G2" s="6" t="s">
        <v>251</v>
      </c>
    </row>
    <row r="3" spans="1:7" ht="68" x14ac:dyDescent="0.2">
      <c r="A3" s="5"/>
      <c r="B3" s="6" t="s">
        <v>12</v>
      </c>
      <c r="C3" s="5"/>
      <c r="D3" s="6" t="s">
        <v>197</v>
      </c>
      <c r="E3" s="6" t="s">
        <v>88</v>
      </c>
      <c r="F3" s="6" t="s">
        <v>90</v>
      </c>
      <c r="G3" s="6" t="s">
        <v>89</v>
      </c>
    </row>
    <row r="4" spans="1:7" ht="102" x14ac:dyDescent="0.2">
      <c r="A4" s="5" t="s">
        <v>14</v>
      </c>
      <c r="B4" s="6" t="s">
        <v>15</v>
      </c>
      <c r="C4" s="5"/>
      <c r="D4" s="5" t="s">
        <v>199</v>
      </c>
      <c r="E4" s="6" t="s">
        <v>252</v>
      </c>
      <c r="F4" s="6" t="s">
        <v>91</v>
      </c>
      <c r="G4" s="6" t="s">
        <v>92</v>
      </c>
    </row>
    <row r="5" spans="1:7" ht="34" x14ac:dyDescent="0.2">
      <c r="A5" s="5"/>
      <c r="B5" s="6" t="s">
        <v>16</v>
      </c>
      <c r="C5" s="5"/>
      <c r="D5" s="5" t="s">
        <v>199</v>
      </c>
      <c r="E5" s="6" t="s">
        <v>93</v>
      </c>
      <c r="F5" s="12" t="s">
        <v>94</v>
      </c>
      <c r="G5" s="6" t="s">
        <v>95</v>
      </c>
    </row>
    <row r="6" spans="1:7" ht="34" x14ac:dyDescent="0.2">
      <c r="A6" s="5"/>
      <c r="B6" s="6" t="s">
        <v>17</v>
      </c>
      <c r="C6" s="5"/>
      <c r="D6" s="5" t="s">
        <v>199</v>
      </c>
      <c r="E6" s="6" t="s">
        <v>96</v>
      </c>
      <c r="F6" s="6" t="s">
        <v>98</v>
      </c>
      <c r="G6" s="6" t="s">
        <v>97</v>
      </c>
    </row>
    <row r="7" spans="1:7" ht="68" x14ac:dyDescent="0.2">
      <c r="A7" s="5" t="s">
        <v>18</v>
      </c>
      <c r="B7" s="6" t="s">
        <v>19</v>
      </c>
      <c r="C7" s="5"/>
      <c r="D7" s="6" t="s">
        <v>197</v>
      </c>
      <c r="E7" s="6" t="s">
        <v>99</v>
      </c>
      <c r="F7" s="6" t="s">
        <v>100</v>
      </c>
      <c r="G7" s="6" t="s">
        <v>107</v>
      </c>
    </row>
    <row r="8" spans="1:7" ht="51" x14ac:dyDescent="0.2">
      <c r="A8" s="5"/>
      <c r="B8" s="6" t="s">
        <v>20</v>
      </c>
      <c r="C8" s="5"/>
      <c r="D8" s="5" t="s">
        <v>199</v>
      </c>
      <c r="E8" s="6" t="s">
        <v>101</v>
      </c>
      <c r="F8" s="6" t="s">
        <v>102</v>
      </c>
      <c r="G8" s="6" t="s">
        <v>103</v>
      </c>
    </row>
    <row r="9" spans="1:7" ht="51" x14ac:dyDescent="0.2">
      <c r="A9" s="5" t="s">
        <v>32</v>
      </c>
      <c r="B9" s="6" t="s">
        <v>21</v>
      </c>
      <c r="C9" s="5"/>
      <c r="D9" s="5" t="s">
        <v>199</v>
      </c>
      <c r="E9" s="6" t="s">
        <v>104</v>
      </c>
      <c r="F9" s="6" t="s">
        <v>105</v>
      </c>
      <c r="G9" s="6" t="s">
        <v>106</v>
      </c>
    </row>
    <row r="10" spans="1:7" ht="51" x14ac:dyDescent="0.2">
      <c r="A10" s="5"/>
      <c r="B10" s="6" t="s">
        <v>22</v>
      </c>
      <c r="C10" s="5"/>
      <c r="D10" s="5" t="s">
        <v>199</v>
      </c>
      <c r="E10" s="6" t="s">
        <v>108</v>
      </c>
      <c r="F10" s="6" t="s">
        <v>110</v>
      </c>
      <c r="G10" s="6" t="s">
        <v>109</v>
      </c>
    </row>
    <row r="11" spans="1:7" ht="34" x14ac:dyDescent="0.2">
      <c r="A11" s="5"/>
      <c r="B11" s="6" t="s">
        <v>23</v>
      </c>
      <c r="C11" s="5"/>
      <c r="D11" s="5" t="s">
        <v>199</v>
      </c>
      <c r="E11" s="6" t="s">
        <v>111</v>
      </c>
      <c r="F11" s="12" t="s">
        <v>113</v>
      </c>
      <c r="G11" s="6" t="s">
        <v>112</v>
      </c>
    </row>
    <row r="12" spans="1:7" ht="51" x14ac:dyDescent="0.2">
      <c r="A12" s="5"/>
      <c r="B12" s="6" t="s">
        <v>24</v>
      </c>
      <c r="C12" s="5"/>
      <c r="D12" s="5" t="s">
        <v>199</v>
      </c>
      <c r="E12" s="6" t="s">
        <v>114</v>
      </c>
      <c r="F12" s="6" t="s">
        <v>116</v>
      </c>
      <c r="G12" s="6" t="s">
        <v>115</v>
      </c>
    </row>
    <row r="13" spans="1:7" ht="34" x14ac:dyDescent="0.2">
      <c r="A13" s="5"/>
      <c r="B13" s="6" t="s">
        <v>25</v>
      </c>
      <c r="C13" s="5"/>
      <c r="D13" s="6" t="s">
        <v>197</v>
      </c>
      <c r="E13" s="6" t="s">
        <v>120</v>
      </c>
      <c r="F13" s="3" t="s">
        <v>121</v>
      </c>
      <c r="G13" s="6" t="s">
        <v>122</v>
      </c>
    </row>
    <row r="14" spans="1:7" ht="51" x14ac:dyDescent="0.2">
      <c r="A14" s="5"/>
      <c r="B14" s="6" t="s">
        <v>26</v>
      </c>
      <c r="C14" s="5"/>
      <c r="D14" s="6" t="s">
        <v>82</v>
      </c>
      <c r="E14" s="6" t="s">
        <v>117</v>
      </c>
      <c r="F14" s="6" t="s">
        <v>118</v>
      </c>
      <c r="G14" s="6" t="s">
        <v>119</v>
      </c>
    </row>
    <row r="15" spans="1:7" ht="85" x14ac:dyDescent="0.2">
      <c r="A15" s="5"/>
      <c r="B15" s="6" t="s">
        <v>27</v>
      </c>
      <c r="C15" s="5"/>
      <c r="D15" s="5" t="s">
        <v>199</v>
      </c>
      <c r="E15" s="6" t="s">
        <v>126</v>
      </c>
      <c r="F15" s="6" t="s">
        <v>124</v>
      </c>
      <c r="G15" s="6" t="s">
        <v>123</v>
      </c>
    </row>
    <row r="16" spans="1:7" ht="34" x14ac:dyDescent="0.2">
      <c r="A16" s="5"/>
      <c r="B16" s="6" t="s">
        <v>28</v>
      </c>
      <c r="C16" s="5"/>
      <c r="D16" s="5" t="s">
        <v>199</v>
      </c>
      <c r="E16" s="6" t="s">
        <v>125</v>
      </c>
      <c r="F16" s="12" t="s">
        <v>128</v>
      </c>
      <c r="G16" s="6" t="s">
        <v>127</v>
      </c>
    </row>
    <row r="17" spans="1:7" ht="34" x14ac:dyDescent="0.2">
      <c r="A17" s="5"/>
      <c r="B17" s="6" t="s">
        <v>29</v>
      </c>
      <c r="C17" s="5"/>
      <c r="D17" s="5" t="s">
        <v>199</v>
      </c>
      <c r="E17" s="6" t="s">
        <v>129</v>
      </c>
      <c r="F17" s="12" t="s">
        <v>131</v>
      </c>
      <c r="G17" s="6" t="s">
        <v>130</v>
      </c>
    </row>
    <row r="18" spans="1:7" ht="34" x14ac:dyDescent="0.2">
      <c r="A18" s="5"/>
      <c r="B18" s="6" t="s">
        <v>30</v>
      </c>
      <c r="C18" s="5"/>
      <c r="D18" s="5" t="s">
        <v>199</v>
      </c>
      <c r="E18" s="6" t="s">
        <v>132</v>
      </c>
      <c r="F18" s="6" t="s">
        <v>133</v>
      </c>
      <c r="G18" s="6" t="s">
        <v>134</v>
      </c>
    </row>
    <row r="19" spans="1:7" ht="51" x14ac:dyDescent="0.2">
      <c r="A19" s="5" t="s">
        <v>31</v>
      </c>
      <c r="B19" s="6"/>
      <c r="C19" s="5"/>
      <c r="D19" s="6"/>
      <c r="E19" s="6"/>
      <c r="F19" s="6"/>
      <c r="G19" s="6"/>
    </row>
    <row r="20" spans="1:7" ht="34" x14ac:dyDescent="0.2">
      <c r="A20" s="5"/>
      <c r="B20" s="6" t="s">
        <v>254</v>
      </c>
      <c r="C20" s="5"/>
      <c r="D20" s="6" t="s">
        <v>197</v>
      </c>
      <c r="E20" s="6" t="s">
        <v>135</v>
      </c>
      <c r="F20" s="6" t="s">
        <v>136</v>
      </c>
      <c r="G20" s="6" t="s">
        <v>137</v>
      </c>
    </row>
    <row r="21" spans="1:7" ht="51" x14ac:dyDescent="0.2">
      <c r="A21" s="5"/>
      <c r="B21" s="6" t="s">
        <v>33</v>
      </c>
      <c r="C21" s="5"/>
      <c r="D21" s="5" t="s">
        <v>199</v>
      </c>
      <c r="E21" s="6" t="s">
        <v>138</v>
      </c>
      <c r="F21" s="6" t="s">
        <v>139</v>
      </c>
      <c r="G21" s="6" t="s">
        <v>140</v>
      </c>
    </row>
    <row r="22" spans="1:7" ht="136" x14ac:dyDescent="0.2">
      <c r="A22" s="5" t="s">
        <v>34</v>
      </c>
      <c r="B22" s="6" t="s">
        <v>35</v>
      </c>
      <c r="C22" s="5"/>
      <c r="D22" s="5" t="s">
        <v>199</v>
      </c>
      <c r="E22" s="6" t="s">
        <v>141</v>
      </c>
      <c r="F22" s="12" t="s">
        <v>143</v>
      </c>
      <c r="G22" s="6" t="s">
        <v>142</v>
      </c>
    </row>
    <row r="23" spans="1:7" ht="85" x14ac:dyDescent="0.2">
      <c r="A23" s="5" t="s">
        <v>36</v>
      </c>
      <c r="B23" s="6" t="s">
        <v>3</v>
      </c>
      <c r="C23" s="5" t="s">
        <v>2</v>
      </c>
      <c r="D23" s="6" t="s">
        <v>197</v>
      </c>
      <c r="E23" s="8">
        <v>2E-3</v>
      </c>
      <c r="F23" s="6" t="s">
        <v>144</v>
      </c>
      <c r="G23" s="6" t="s">
        <v>145</v>
      </c>
    </row>
    <row r="24" spans="1:7" ht="34" x14ac:dyDescent="0.2">
      <c r="A24" s="6"/>
      <c r="B24" s="6" t="s">
        <v>5</v>
      </c>
      <c r="C24" s="5" t="s">
        <v>2</v>
      </c>
      <c r="D24" s="6" t="s">
        <v>197</v>
      </c>
      <c r="E24" s="6">
        <v>0.29699999999999999</v>
      </c>
      <c r="F24" s="6" t="s">
        <v>144</v>
      </c>
      <c r="G24" s="6" t="s">
        <v>145</v>
      </c>
    </row>
    <row r="25" spans="1:7" ht="119" x14ac:dyDescent="0.2">
      <c r="A25" s="5" t="s">
        <v>37</v>
      </c>
      <c r="B25" s="6" t="s">
        <v>38</v>
      </c>
      <c r="C25" s="5" t="s">
        <v>7</v>
      </c>
      <c r="D25" s="5" t="s">
        <v>199</v>
      </c>
      <c r="E25" s="8">
        <v>2.2000000000000001E-3</v>
      </c>
      <c r="F25" s="6" t="s">
        <v>146</v>
      </c>
      <c r="G25" s="6" t="s">
        <v>147</v>
      </c>
    </row>
    <row r="26" spans="1:7" ht="51" x14ac:dyDescent="0.2">
      <c r="A26" s="6"/>
      <c r="B26" s="6" t="s">
        <v>39</v>
      </c>
      <c r="C26" s="5"/>
      <c r="D26" s="6" t="s">
        <v>151</v>
      </c>
      <c r="E26" s="6" t="s">
        <v>151</v>
      </c>
      <c r="F26" s="6" t="s">
        <v>152</v>
      </c>
      <c r="G26" s="6" t="s">
        <v>153</v>
      </c>
    </row>
    <row r="27" spans="1:7" ht="51" x14ac:dyDescent="0.2">
      <c r="A27" s="6"/>
      <c r="B27" s="6" t="s">
        <v>40</v>
      </c>
      <c r="C27" s="5"/>
      <c r="D27" s="6" t="s">
        <v>197</v>
      </c>
      <c r="E27" s="8">
        <v>4.7000000000000002E-3</v>
      </c>
      <c r="F27" s="6" t="s">
        <v>158</v>
      </c>
      <c r="G27" s="6" t="s">
        <v>157</v>
      </c>
    </row>
    <row r="28" spans="1:7" ht="51" x14ac:dyDescent="0.2">
      <c r="A28" s="6"/>
      <c r="B28" s="6" t="s">
        <v>41</v>
      </c>
      <c r="C28" s="5"/>
      <c r="D28" s="6" t="s">
        <v>197</v>
      </c>
      <c r="E28" s="8">
        <v>6.7999999999999996E-3</v>
      </c>
      <c r="F28" s="6" t="s">
        <v>158</v>
      </c>
      <c r="G28" s="6" t="s">
        <v>157</v>
      </c>
    </row>
    <row r="29" spans="1:7" ht="51" x14ac:dyDescent="0.2">
      <c r="A29" s="6"/>
      <c r="B29" s="6" t="s">
        <v>42</v>
      </c>
      <c r="C29" s="5"/>
      <c r="D29" s="6" t="s">
        <v>197</v>
      </c>
      <c r="E29" s="8">
        <v>3.2000000000000002E-3</v>
      </c>
      <c r="F29" s="6" t="s">
        <v>152</v>
      </c>
      <c r="G29" s="6" t="s">
        <v>155</v>
      </c>
    </row>
    <row r="30" spans="1:7" ht="51" x14ac:dyDescent="0.2">
      <c r="A30" s="6"/>
      <c r="B30" s="6" t="s">
        <v>43</v>
      </c>
      <c r="C30" s="5"/>
      <c r="D30" s="6" t="s">
        <v>197</v>
      </c>
      <c r="E30" s="8">
        <v>2.3E-3</v>
      </c>
      <c r="F30" s="6" t="s">
        <v>152</v>
      </c>
      <c r="G30" s="6" t="s">
        <v>156</v>
      </c>
    </row>
    <row r="31" spans="1:7" ht="34" x14ac:dyDescent="0.2">
      <c r="A31" s="6"/>
      <c r="B31" s="6" t="s">
        <v>44</v>
      </c>
      <c r="C31" s="5"/>
      <c r="D31" s="13" t="s">
        <v>199</v>
      </c>
      <c r="E31" s="6" t="s">
        <v>148</v>
      </c>
      <c r="F31" s="6" t="s">
        <v>149</v>
      </c>
      <c r="G31" s="6" t="s">
        <v>150</v>
      </c>
    </row>
    <row r="32" spans="1:7" ht="68" x14ac:dyDescent="0.2">
      <c r="A32" s="6"/>
      <c r="B32" s="6" t="s">
        <v>45</v>
      </c>
      <c r="C32" s="5"/>
      <c r="D32" s="6" t="s">
        <v>197</v>
      </c>
      <c r="E32" s="14">
        <v>0.02</v>
      </c>
      <c r="F32" s="6" t="s">
        <v>166</v>
      </c>
      <c r="G32" s="6" t="s">
        <v>165</v>
      </c>
    </row>
    <row r="33" spans="1:7" ht="51" x14ac:dyDescent="0.2">
      <c r="A33" s="6"/>
      <c r="B33" s="6" t="s">
        <v>46</v>
      </c>
      <c r="C33" s="5"/>
      <c r="D33" s="6" t="s">
        <v>197</v>
      </c>
      <c r="E33" s="8">
        <v>4.3E-3</v>
      </c>
      <c r="F33" s="6" t="s">
        <v>152</v>
      </c>
      <c r="G33" s="6" t="s">
        <v>154</v>
      </c>
    </row>
    <row r="34" spans="1:7" ht="68" x14ac:dyDescent="0.2">
      <c r="A34" s="6"/>
      <c r="B34" s="6" t="s">
        <v>47</v>
      </c>
      <c r="C34" s="5"/>
      <c r="D34" s="6" t="s">
        <v>197</v>
      </c>
      <c r="E34" s="8">
        <v>2.64E-3</v>
      </c>
      <c r="F34" s="12" t="s">
        <v>196</v>
      </c>
      <c r="G34" s="6" t="s">
        <v>195</v>
      </c>
    </row>
    <row r="35" spans="1:7" ht="34" x14ac:dyDescent="0.2">
      <c r="A35" s="6"/>
      <c r="B35" s="6" t="s">
        <v>48</v>
      </c>
      <c r="C35" s="5"/>
      <c r="D35" s="13" t="s">
        <v>199</v>
      </c>
      <c r="E35" s="8">
        <v>1E-3</v>
      </c>
      <c r="F35" s="12" t="s">
        <v>194</v>
      </c>
      <c r="G35" s="6" t="s">
        <v>193</v>
      </c>
    </row>
    <row r="36" spans="1:7" ht="51" x14ac:dyDescent="0.2">
      <c r="A36" s="6"/>
      <c r="B36" s="6" t="s">
        <v>49</v>
      </c>
      <c r="C36" s="5"/>
      <c r="D36" s="6" t="s">
        <v>197</v>
      </c>
      <c r="E36" s="8">
        <v>1.9499999999999999E-3</v>
      </c>
      <c r="F36" s="6" t="s">
        <v>152</v>
      </c>
      <c r="G36" s="6" t="s">
        <v>154</v>
      </c>
    </row>
    <row r="37" spans="1:7" ht="51" x14ac:dyDescent="0.2">
      <c r="A37" s="6"/>
      <c r="B37" s="6" t="s">
        <v>50</v>
      </c>
      <c r="C37" s="5"/>
      <c r="D37" s="6" t="s">
        <v>197</v>
      </c>
      <c r="E37" s="8">
        <v>4.4999999999999997E-3</v>
      </c>
      <c r="F37" s="6" t="s">
        <v>152</v>
      </c>
      <c r="G37" s="6" t="s">
        <v>154</v>
      </c>
    </row>
    <row r="38" spans="1:7" ht="34" x14ac:dyDescent="0.2">
      <c r="A38" s="6"/>
      <c r="B38" s="6" t="s">
        <v>51</v>
      </c>
      <c r="C38" s="5"/>
      <c r="D38" s="6" t="s">
        <v>82</v>
      </c>
      <c r="E38" s="6" t="s">
        <v>190</v>
      </c>
      <c r="F38" s="6" t="s">
        <v>192</v>
      </c>
      <c r="G38" s="6" t="s">
        <v>191</v>
      </c>
    </row>
    <row r="39" spans="1:7" ht="34" x14ac:dyDescent="0.2">
      <c r="A39" s="2" t="s">
        <v>255</v>
      </c>
    </row>
    <row r="40" spans="1:7" ht="34" x14ac:dyDescent="0.2">
      <c r="B40" s="6" t="s">
        <v>256</v>
      </c>
      <c r="C40" s="9" t="s">
        <v>7</v>
      </c>
      <c r="D40" s="13" t="s">
        <v>199</v>
      </c>
      <c r="E40" s="15">
        <v>0.1</v>
      </c>
      <c r="F40" s="3" t="s">
        <v>257</v>
      </c>
      <c r="G40" s="6" t="s">
        <v>258</v>
      </c>
    </row>
    <row r="41" spans="1:7" ht="136" x14ac:dyDescent="0.2">
      <c r="A41" s="5" t="s">
        <v>52</v>
      </c>
      <c r="B41" s="6" t="s">
        <v>4</v>
      </c>
      <c r="C41" s="5" t="s">
        <v>1</v>
      </c>
      <c r="D41" s="6" t="s">
        <v>82</v>
      </c>
      <c r="E41" s="6" t="s">
        <v>83</v>
      </c>
      <c r="F41" s="12" t="s">
        <v>6</v>
      </c>
      <c r="G41" s="6"/>
    </row>
    <row r="42" spans="1:7" ht="85" x14ac:dyDescent="0.2">
      <c r="A42" s="5" t="s">
        <v>53</v>
      </c>
      <c r="B42" s="6" t="s">
        <v>54</v>
      </c>
      <c r="C42" s="5" t="s">
        <v>58</v>
      </c>
      <c r="D42" s="13" t="s">
        <v>200</v>
      </c>
      <c r="E42" s="6" t="s">
        <v>187</v>
      </c>
      <c r="F42" s="6" t="s">
        <v>188</v>
      </c>
      <c r="G42" s="6" t="s">
        <v>189</v>
      </c>
    </row>
    <row r="43" spans="1:7" ht="68" x14ac:dyDescent="0.2">
      <c r="A43" s="6"/>
      <c r="B43" s="6" t="s">
        <v>55</v>
      </c>
      <c r="C43" s="5"/>
      <c r="D43" s="6" t="s">
        <v>82</v>
      </c>
      <c r="E43" s="6" t="s">
        <v>184</v>
      </c>
      <c r="F43" s="12" t="s">
        <v>186</v>
      </c>
      <c r="G43" s="6" t="s">
        <v>185</v>
      </c>
    </row>
    <row r="44" spans="1:7" ht="102" x14ac:dyDescent="0.2">
      <c r="A44" s="5" t="s">
        <v>56</v>
      </c>
      <c r="B44" s="6" t="s">
        <v>57</v>
      </c>
      <c r="C44" s="5"/>
      <c r="D44" s="6" t="s">
        <v>82</v>
      </c>
      <c r="E44" s="6" t="s">
        <v>181</v>
      </c>
      <c r="F44" s="6" t="s">
        <v>182</v>
      </c>
      <c r="G44" s="6" t="s">
        <v>183</v>
      </c>
    </row>
    <row r="45" spans="1:7" ht="68" x14ac:dyDescent="0.2">
      <c r="A45" s="5" t="s">
        <v>59</v>
      </c>
      <c r="B45" s="6" t="s">
        <v>60</v>
      </c>
      <c r="C45" s="5" t="s">
        <v>69</v>
      </c>
      <c r="D45" s="6"/>
      <c r="E45" s="6"/>
      <c r="F45" s="6"/>
      <c r="G45" s="6"/>
    </row>
    <row r="46" spans="1:7" ht="51" x14ac:dyDescent="0.2">
      <c r="A46" s="5"/>
      <c r="B46" s="6" t="s">
        <v>61</v>
      </c>
      <c r="C46" s="5"/>
      <c r="D46" s="13" t="s">
        <v>199</v>
      </c>
      <c r="E46" s="8">
        <v>1.9E-2</v>
      </c>
      <c r="F46" s="6" t="s">
        <v>180</v>
      </c>
      <c r="G46" s="6" t="s">
        <v>179</v>
      </c>
    </row>
    <row r="47" spans="1:7" ht="34" x14ac:dyDescent="0.2">
      <c r="A47" s="5"/>
      <c r="B47" s="6" t="s">
        <v>62</v>
      </c>
      <c r="C47" s="5"/>
      <c r="D47" s="13" t="s">
        <v>199</v>
      </c>
      <c r="E47" s="14">
        <v>0.02</v>
      </c>
      <c r="F47" s="12" t="s">
        <v>178</v>
      </c>
      <c r="G47" s="6" t="s">
        <v>177</v>
      </c>
    </row>
    <row r="48" spans="1:7" ht="85" x14ac:dyDescent="0.2">
      <c r="A48" s="5" t="s">
        <v>63</v>
      </c>
      <c r="B48" s="6" t="s">
        <v>64</v>
      </c>
      <c r="C48" s="5"/>
      <c r="D48" s="13" t="s">
        <v>199</v>
      </c>
      <c r="E48" s="8">
        <v>5.5E-2</v>
      </c>
      <c r="F48" s="6" t="s">
        <v>176</v>
      </c>
      <c r="G48" s="6" t="s">
        <v>175</v>
      </c>
    </row>
    <row r="49" spans="1:7" ht="34" x14ac:dyDescent="0.2">
      <c r="A49" s="5"/>
      <c r="B49" s="6" t="s">
        <v>65</v>
      </c>
      <c r="C49" s="5"/>
      <c r="D49" s="8" t="s">
        <v>197</v>
      </c>
      <c r="E49" s="8">
        <v>7.6999999999999999E-2</v>
      </c>
      <c r="F49" s="6" t="s">
        <v>174</v>
      </c>
      <c r="G49" s="6" t="s">
        <v>173</v>
      </c>
    </row>
    <row r="50" spans="1:7" ht="34" x14ac:dyDescent="0.2">
      <c r="A50" s="5" t="s">
        <v>66</v>
      </c>
      <c r="B50" s="6" t="s">
        <v>67</v>
      </c>
      <c r="C50" s="5" t="s">
        <v>70</v>
      </c>
      <c r="D50" s="13" t="s">
        <v>201</v>
      </c>
      <c r="E50" s="8">
        <v>2.5000000000000001E-2</v>
      </c>
      <c r="F50" s="6" t="s">
        <v>172</v>
      </c>
      <c r="G50" s="6" t="s">
        <v>171</v>
      </c>
    </row>
    <row r="51" spans="1:7" ht="68" x14ac:dyDescent="0.2">
      <c r="A51" s="5" t="s">
        <v>68</v>
      </c>
      <c r="B51" s="6" t="s">
        <v>71</v>
      </c>
      <c r="C51" s="5" t="s">
        <v>80</v>
      </c>
      <c r="D51" s="6" t="s">
        <v>197</v>
      </c>
      <c r="E51" s="6">
        <v>0.63</v>
      </c>
      <c r="F51" s="6" t="s">
        <v>169</v>
      </c>
      <c r="G51" s="6" t="s">
        <v>170</v>
      </c>
    </row>
    <row r="52" spans="1:7" ht="34" x14ac:dyDescent="0.2">
      <c r="A52" s="6"/>
      <c r="B52" s="6" t="s">
        <v>72</v>
      </c>
      <c r="C52" s="5"/>
      <c r="D52" s="6" t="s">
        <v>197</v>
      </c>
      <c r="E52" s="6">
        <v>0.4</v>
      </c>
      <c r="F52" s="6" t="s">
        <v>169</v>
      </c>
      <c r="G52" s="6"/>
    </row>
    <row r="53" spans="1:7" ht="85" x14ac:dyDescent="0.2">
      <c r="A53" s="5" t="s">
        <v>73</v>
      </c>
      <c r="B53" s="6" t="s">
        <v>74</v>
      </c>
      <c r="C53" s="5" t="s">
        <v>79</v>
      </c>
      <c r="D53" s="6"/>
      <c r="E53" s="6"/>
      <c r="F53" s="6"/>
      <c r="G53" s="6"/>
    </row>
    <row r="54" spans="1:7" ht="34" x14ac:dyDescent="0.2">
      <c r="A54" s="6"/>
      <c r="B54" s="6" t="s">
        <v>75</v>
      </c>
      <c r="C54" s="6"/>
      <c r="D54" s="13" t="s">
        <v>199</v>
      </c>
      <c r="E54" s="14">
        <v>0.15</v>
      </c>
      <c r="F54" s="6" t="s">
        <v>160</v>
      </c>
      <c r="G54" s="6" t="s">
        <v>159</v>
      </c>
    </row>
    <row r="55" spans="1:7" ht="102" x14ac:dyDescent="0.2">
      <c r="A55" s="6"/>
      <c r="B55" s="6" t="s">
        <v>76</v>
      </c>
      <c r="C55" s="6"/>
      <c r="D55" s="13" t="s">
        <v>199</v>
      </c>
      <c r="E55" s="14">
        <v>0.14000000000000001</v>
      </c>
      <c r="F55" s="12" t="s">
        <v>168</v>
      </c>
      <c r="G55" s="6" t="s">
        <v>167</v>
      </c>
    </row>
    <row r="56" spans="1:7" ht="34" x14ac:dyDescent="0.2">
      <c r="A56" s="6"/>
      <c r="B56" s="6" t="s">
        <v>77</v>
      </c>
      <c r="C56" s="6"/>
      <c r="D56" s="13" t="s">
        <v>199</v>
      </c>
      <c r="E56" s="14">
        <v>0.15</v>
      </c>
      <c r="F56" s="6" t="s">
        <v>163</v>
      </c>
      <c r="G56" s="6" t="s">
        <v>164</v>
      </c>
    </row>
    <row r="57" spans="1:7" ht="34" x14ac:dyDescent="0.2">
      <c r="A57" s="6"/>
      <c r="B57" s="6" t="s">
        <v>78</v>
      </c>
      <c r="C57" s="6"/>
      <c r="D57" s="13" t="s">
        <v>199</v>
      </c>
      <c r="E57" s="14">
        <v>0.16</v>
      </c>
      <c r="F57" s="6" t="s">
        <v>161</v>
      </c>
      <c r="G57" s="6" t="s">
        <v>162</v>
      </c>
    </row>
  </sheetData>
  <hyperlinks>
    <hyperlink ref="F41" r:id="rId1" xr:uid="{2E2E0771-1640-9946-8127-9F62ED660CD8}"/>
    <hyperlink ref="F11" r:id="rId2" xr:uid="{6CD25319-5817-D64C-AADB-D0DB4C5DF912}"/>
    <hyperlink ref="F16" r:id="rId3" xr:uid="{3F08EFEC-BC34-EC45-A6B1-3A27466B1A56}"/>
    <hyperlink ref="F17" r:id="rId4" xr:uid="{70D6F62B-D573-0745-AB93-6B8B51A31845}"/>
    <hyperlink ref="F22" r:id="rId5" xr:uid="{DCDD5454-F2F8-6C4F-96DE-432367BB9C38}"/>
    <hyperlink ref="F47" r:id="rId6" xr:uid="{B064D926-44F4-A148-BDD4-3CC435BA7173}"/>
    <hyperlink ref="F43" r:id="rId7" xr:uid="{6ACFDAA5-DB33-8D47-9732-37BBA541F571}"/>
    <hyperlink ref="F35" r:id="rId8" xr:uid="{3789EEE7-A61D-7042-9D46-CAB27FE855B9}"/>
    <hyperlink ref="F34" r:id="rId9" xr:uid="{2BE7A9B1-5E7A-A040-A48A-308C5D22D8D5}"/>
    <hyperlink ref="F5" r:id="rId10" xr:uid="{49F67501-E9CF-2641-9AF7-6A59559C53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6FAB-74DE-744C-A832-79C95CA4020E}">
  <dimension ref="A1:AT11"/>
  <sheetViews>
    <sheetView topLeftCell="A19" workbookViewId="0">
      <pane xSplit="1" topLeftCell="B1" activePane="topRight" state="frozen"/>
      <selection pane="topRight" activeCell="A4" sqref="A1:XFD1048576"/>
    </sheetView>
  </sheetViews>
  <sheetFormatPr baseColWidth="10" defaultRowHeight="16" x14ac:dyDescent="0.2"/>
  <cols>
    <col min="1" max="16384" width="10.83203125" style="3"/>
  </cols>
  <sheetData>
    <row r="1" spans="1:46" ht="17" x14ac:dyDescent="0.2">
      <c r="C1" s="3" t="s">
        <v>221</v>
      </c>
      <c r="D1" s="1" t="s">
        <v>222</v>
      </c>
      <c r="E1" s="1" t="s">
        <v>223</v>
      </c>
      <c r="F1" s="1" t="s">
        <v>224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221</v>
      </c>
      <c r="T1" s="1" t="s">
        <v>222</v>
      </c>
      <c r="U1" s="1" t="s">
        <v>223</v>
      </c>
      <c r="V1" s="1" t="s">
        <v>224</v>
      </c>
      <c r="W1" s="10" t="s">
        <v>221</v>
      </c>
      <c r="X1" s="10" t="s">
        <v>222</v>
      </c>
      <c r="Y1" s="10" t="s">
        <v>223</v>
      </c>
      <c r="Z1" s="10" t="s">
        <v>224</v>
      </c>
      <c r="AA1" s="10" t="s">
        <v>221</v>
      </c>
      <c r="AB1" s="10" t="s">
        <v>222</v>
      </c>
      <c r="AC1" s="10" t="s">
        <v>223</v>
      </c>
      <c r="AD1" s="10" t="s">
        <v>224</v>
      </c>
      <c r="AE1" s="10" t="s">
        <v>221</v>
      </c>
      <c r="AF1" s="10" t="s">
        <v>222</v>
      </c>
      <c r="AG1" s="10" t="s">
        <v>223</v>
      </c>
      <c r="AH1" s="10" t="s">
        <v>224</v>
      </c>
      <c r="AI1" s="10" t="s">
        <v>221</v>
      </c>
      <c r="AJ1" s="10" t="s">
        <v>222</v>
      </c>
      <c r="AK1" s="10" t="s">
        <v>223</v>
      </c>
      <c r="AL1" s="10" t="s">
        <v>224</v>
      </c>
      <c r="AM1" s="10" t="s">
        <v>221</v>
      </c>
      <c r="AN1" s="10" t="s">
        <v>222</v>
      </c>
      <c r="AO1" s="10" t="s">
        <v>223</v>
      </c>
      <c r="AP1" s="10" t="s">
        <v>224</v>
      </c>
      <c r="AQ1" s="10" t="s">
        <v>221</v>
      </c>
      <c r="AR1" s="10" t="s">
        <v>222</v>
      </c>
      <c r="AS1" s="10" t="s">
        <v>223</v>
      </c>
      <c r="AT1" s="10" t="s">
        <v>224</v>
      </c>
    </row>
    <row r="2" spans="1:46" ht="49" customHeight="1" x14ac:dyDescent="0.2">
      <c r="A2" s="6" t="s">
        <v>38</v>
      </c>
      <c r="B2" s="5" t="s">
        <v>7</v>
      </c>
      <c r="C2" s="1" t="s">
        <v>226</v>
      </c>
      <c r="D2" s="8">
        <v>2.2000000000000001E-3</v>
      </c>
      <c r="E2" s="2">
        <v>2024</v>
      </c>
      <c r="F2" s="1" t="s">
        <v>246</v>
      </c>
      <c r="G2" s="1" t="s">
        <v>226</v>
      </c>
      <c r="H2" s="1">
        <v>0.17</v>
      </c>
      <c r="I2" s="2">
        <v>2023</v>
      </c>
      <c r="J2" s="3" t="s">
        <v>245</v>
      </c>
      <c r="K2" s="1" t="s">
        <v>226</v>
      </c>
      <c r="L2" s="1">
        <v>0.16</v>
      </c>
      <c r="M2" s="2">
        <v>2022</v>
      </c>
      <c r="N2" s="1" t="s">
        <v>242</v>
      </c>
      <c r="O2" s="1" t="s">
        <v>226</v>
      </c>
      <c r="P2" s="1">
        <v>0.21</v>
      </c>
      <c r="Q2" s="2">
        <v>2021</v>
      </c>
      <c r="R2" s="1" t="s">
        <v>240</v>
      </c>
      <c r="S2" s="1" t="s">
        <v>226</v>
      </c>
      <c r="T2" s="1">
        <v>0.17</v>
      </c>
      <c r="U2" s="2">
        <v>2020</v>
      </c>
      <c r="V2" s="1" t="s">
        <v>238</v>
      </c>
      <c r="W2" s="1" t="s">
        <v>226</v>
      </c>
      <c r="X2" s="1">
        <v>0.17</v>
      </c>
      <c r="Y2" s="2">
        <v>2019</v>
      </c>
      <c r="Z2" s="1" t="s">
        <v>237</v>
      </c>
      <c r="AA2" s="1" t="s">
        <v>226</v>
      </c>
      <c r="AB2" s="1">
        <v>0.17</v>
      </c>
      <c r="AC2" s="2">
        <v>2018</v>
      </c>
      <c r="AD2" s="1" t="s">
        <v>235</v>
      </c>
      <c r="AE2" s="1" t="s">
        <v>226</v>
      </c>
      <c r="AF2" s="1">
        <v>0.22</v>
      </c>
      <c r="AG2" s="2">
        <v>2017</v>
      </c>
      <c r="AH2" s="1"/>
      <c r="AI2" s="1" t="s">
        <v>226</v>
      </c>
      <c r="AJ2" s="1">
        <v>0.27</v>
      </c>
      <c r="AK2" s="2">
        <v>2016</v>
      </c>
      <c r="AL2" s="1" t="s">
        <v>228</v>
      </c>
      <c r="AM2" s="1" t="s">
        <v>226</v>
      </c>
      <c r="AN2" s="1">
        <v>0.26</v>
      </c>
      <c r="AO2" s="2">
        <v>2015</v>
      </c>
      <c r="AP2" s="1" t="s">
        <v>231</v>
      </c>
      <c r="AQ2" s="1" t="s">
        <v>226</v>
      </c>
      <c r="AR2" s="1">
        <v>0.25</v>
      </c>
      <c r="AS2" s="2">
        <v>2014</v>
      </c>
      <c r="AT2" s="1" t="s">
        <v>230</v>
      </c>
    </row>
    <row r="3" spans="1:46" ht="119" x14ac:dyDescent="0.2">
      <c r="A3" s="6" t="s">
        <v>39</v>
      </c>
      <c r="B3" s="5" t="s">
        <v>7</v>
      </c>
      <c r="C3" s="1" t="s">
        <v>226</v>
      </c>
      <c r="D3" s="6" t="s">
        <v>151</v>
      </c>
      <c r="E3" s="1"/>
      <c r="F3" s="1" t="s">
        <v>246</v>
      </c>
      <c r="G3" s="1" t="s">
        <v>226</v>
      </c>
      <c r="H3" s="1" t="s">
        <v>151</v>
      </c>
      <c r="I3" s="1"/>
      <c r="J3" s="3" t="s">
        <v>245</v>
      </c>
      <c r="K3" s="1" t="s">
        <v>226</v>
      </c>
      <c r="L3" s="1" t="s">
        <v>151</v>
      </c>
      <c r="M3" s="1"/>
      <c r="N3" s="1" t="s">
        <v>242</v>
      </c>
      <c r="O3" s="1" t="s">
        <v>226</v>
      </c>
      <c r="P3" s="1" t="s">
        <v>151</v>
      </c>
      <c r="Q3" s="1"/>
      <c r="R3" s="1" t="s">
        <v>240</v>
      </c>
      <c r="S3" s="1" t="s">
        <v>226</v>
      </c>
      <c r="T3" s="1" t="s">
        <v>151</v>
      </c>
      <c r="U3" s="1"/>
      <c r="V3" s="1" t="s">
        <v>238</v>
      </c>
      <c r="W3" s="1" t="s">
        <v>226</v>
      </c>
      <c r="X3" s="1" t="s">
        <v>151</v>
      </c>
      <c r="Y3" s="1"/>
      <c r="Z3" s="1" t="s">
        <v>237</v>
      </c>
      <c r="AA3" s="1" t="s">
        <v>226</v>
      </c>
      <c r="AB3" s="1" t="s">
        <v>151</v>
      </c>
      <c r="AC3" s="1"/>
      <c r="AD3" s="1" t="s">
        <v>235</v>
      </c>
      <c r="AE3" s="1" t="s">
        <v>226</v>
      </c>
      <c r="AF3" s="1" t="s">
        <v>151</v>
      </c>
      <c r="AG3" s="1"/>
      <c r="AH3" s="1" t="s">
        <v>234</v>
      </c>
      <c r="AI3" s="1" t="s">
        <v>226</v>
      </c>
      <c r="AJ3" s="1" t="s">
        <v>151</v>
      </c>
      <c r="AK3" s="1"/>
      <c r="AL3" s="1" t="s">
        <v>228</v>
      </c>
      <c r="AM3" s="1" t="s">
        <v>226</v>
      </c>
      <c r="AN3" s="1" t="s">
        <v>151</v>
      </c>
      <c r="AO3" s="1"/>
      <c r="AP3" s="1" t="s">
        <v>231</v>
      </c>
      <c r="AQ3" s="1" t="s">
        <v>226</v>
      </c>
      <c r="AR3" s="10" t="s">
        <v>151</v>
      </c>
      <c r="AS3" s="1"/>
      <c r="AT3" s="1" t="s">
        <v>230</v>
      </c>
    </row>
    <row r="4" spans="1:46" ht="119" x14ac:dyDescent="0.2">
      <c r="A4" s="6" t="s">
        <v>42</v>
      </c>
      <c r="B4" s="5" t="s">
        <v>7</v>
      </c>
      <c r="C4" s="1" t="s">
        <v>226</v>
      </c>
      <c r="D4" s="8">
        <v>1.6000000000000001E-3</v>
      </c>
      <c r="E4" s="1"/>
      <c r="F4" s="1" t="s">
        <v>246</v>
      </c>
      <c r="G4" s="1" t="s">
        <v>226</v>
      </c>
      <c r="H4" s="1">
        <v>0.15</v>
      </c>
      <c r="I4" s="1"/>
      <c r="J4" s="3" t="s">
        <v>245</v>
      </c>
      <c r="K4" s="1" t="s">
        <v>226</v>
      </c>
      <c r="L4" s="1">
        <v>0.11</v>
      </c>
      <c r="M4" s="1"/>
      <c r="N4" s="1" t="s">
        <v>242</v>
      </c>
      <c r="O4" s="1" t="s">
        <v>226</v>
      </c>
      <c r="P4" s="1">
        <v>0.09</v>
      </c>
      <c r="Q4" s="1"/>
      <c r="R4" s="1" t="s">
        <v>240</v>
      </c>
      <c r="S4" s="1" t="s">
        <v>226</v>
      </c>
      <c r="T4" s="1">
        <v>0.09</v>
      </c>
      <c r="U4" s="1"/>
      <c r="V4" s="1" t="s">
        <v>238</v>
      </c>
      <c r="W4" s="1" t="s">
        <v>226</v>
      </c>
      <c r="X4" s="1">
        <v>0.11</v>
      </c>
      <c r="Y4" s="1"/>
      <c r="Z4" s="1" t="s">
        <v>237</v>
      </c>
      <c r="AA4" s="1" t="s">
        <v>226</v>
      </c>
      <c r="AB4" s="1">
        <v>0.15</v>
      </c>
      <c r="AC4" s="1"/>
      <c r="AD4" s="1" t="s">
        <v>235</v>
      </c>
      <c r="AE4" s="1" t="s">
        <v>226</v>
      </c>
      <c r="AF4" s="1">
        <v>0.12</v>
      </c>
      <c r="AG4" s="1"/>
      <c r="AH4" s="1" t="s">
        <v>234</v>
      </c>
      <c r="AI4" s="1" t="s">
        <v>226</v>
      </c>
      <c r="AJ4" s="1">
        <v>0.2</v>
      </c>
      <c r="AK4" s="1"/>
      <c r="AL4" s="1" t="s">
        <v>228</v>
      </c>
      <c r="AM4" s="1" t="s">
        <v>226</v>
      </c>
      <c r="AN4" s="1">
        <v>0.2</v>
      </c>
      <c r="AO4" s="1"/>
      <c r="AP4" s="1" t="s">
        <v>231</v>
      </c>
      <c r="AQ4" s="1" t="s">
        <v>226</v>
      </c>
      <c r="AR4" s="1">
        <v>0.18</v>
      </c>
      <c r="AS4" s="1"/>
      <c r="AT4" s="1" t="s">
        <v>230</v>
      </c>
    </row>
    <row r="5" spans="1:46" ht="119" x14ac:dyDescent="0.2">
      <c r="A5" s="6" t="s">
        <v>43</v>
      </c>
      <c r="B5" s="5" t="s">
        <v>7</v>
      </c>
      <c r="C5" s="1" t="s">
        <v>226</v>
      </c>
      <c r="D5" s="8">
        <v>1.8E-3</v>
      </c>
      <c r="E5" s="1"/>
      <c r="F5" s="1" t="s">
        <v>246</v>
      </c>
      <c r="G5" s="1" t="s">
        <v>226</v>
      </c>
      <c r="H5" s="1">
        <v>0.16</v>
      </c>
      <c r="I5" s="1"/>
      <c r="J5" s="3" t="s">
        <v>245</v>
      </c>
      <c r="K5" s="1" t="s">
        <v>226</v>
      </c>
      <c r="L5" s="1">
        <v>0.14000000000000001</v>
      </c>
      <c r="M5" s="1"/>
      <c r="N5" s="1" t="s">
        <v>242</v>
      </c>
      <c r="O5" s="1" t="s">
        <v>226</v>
      </c>
      <c r="P5" s="1">
        <v>0.17</v>
      </c>
      <c r="Q5" s="1"/>
      <c r="R5" s="1" t="s">
        <v>240</v>
      </c>
      <c r="S5" s="1" t="s">
        <v>226</v>
      </c>
      <c r="T5" s="1">
        <v>0.15</v>
      </c>
      <c r="U5" s="1"/>
      <c r="V5" s="1" t="s">
        <v>238</v>
      </c>
      <c r="W5" s="1" t="s">
        <v>226</v>
      </c>
      <c r="X5" s="1">
        <v>0.15</v>
      </c>
      <c r="Y5" s="1"/>
      <c r="Z5" s="1" t="s">
        <v>237</v>
      </c>
      <c r="AA5" s="1" t="s">
        <v>226</v>
      </c>
      <c r="AB5" s="1">
        <v>0.15</v>
      </c>
      <c r="AC5" s="1"/>
      <c r="AD5" s="1" t="s">
        <v>235</v>
      </c>
      <c r="AE5" s="1" t="s">
        <v>226</v>
      </c>
      <c r="AF5" s="1">
        <v>0.17</v>
      </c>
      <c r="AG5" s="1"/>
      <c r="AH5" s="1" t="s">
        <v>234</v>
      </c>
      <c r="AI5" s="1" t="s">
        <v>226</v>
      </c>
      <c r="AJ5" s="1">
        <v>0.17</v>
      </c>
      <c r="AK5" s="1"/>
      <c r="AL5" s="1" t="s">
        <v>228</v>
      </c>
      <c r="AM5" s="1" t="s">
        <v>226</v>
      </c>
      <c r="AN5" s="1">
        <v>0.18</v>
      </c>
      <c r="AO5" s="1"/>
      <c r="AP5" s="1" t="s">
        <v>231</v>
      </c>
      <c r="AQ5" s="1" t="s">
        <v>226</v>
      </c>
      <c r="AR5" s="1">
        <v>0.18</v>
      </c>
      <c r="AS5" s="1"/>
      <c r="AT5" s="1" t="s">
        <v>230</v>
      </c>
    </row>
    <row r="6" spans="1:46" ht="119" x14ac:dyDescent="0.2">
      <c r="A6" s="6" t="s">
        <v>46</v>
      </c>
      <c r="B6" s="5" t="s">
        <v>7</v>
      </c>
      <c r="C6" s="1" t="s">
        <v>226</v>
      </c>
      <c r="D6" s="8" t="s">
        <v>151</v>
      </c>
      <c r="E6" s="1"/>
      <c r="F6" s="1" t="s">
        <v>246</v>
      </c>
      <c r="G6" s="1" t="s">
        <v>226</v>
      </c>
      <c r="H6" s="1" t="s">
        <v>151</v>
      </c>
      <c r="I6" s="1"/>
      <c r="J6" s="3" t="s">
        <v>245</v>
      </c>
      <c r="K6" s="1" t="s">
        <v>226</v>
      </c>
      <c r="L6" s="1" t="s">
        <v>151</v>
      </c>
      <c r="M6" s="1"/>
      <c r="N6" s="1" t="s">
        <v>242</v>
      </c>
      <c r="O6" s="1" t="s">
        <v>226</v>
      </c>
      <c r="P6" s="1" t="s">
        <v>151</v>
      </c>
      <c r="Q6" s="1"/>
      <c r="R6" s="1" t="s">
        <v>240</v>
      </c>
      <c r="S6" s="1" t="s">
        <v>226</v>
      </c>
      <c r="T6" s="1" t="s">
        <v>151</v>
      </c>
      <c r="U6" s="1"/>
      <c r="V6" s="1" t="s">
        <v>238</v>
      </c>
      <c r="W6" s="1" t="s">
        <v>226</v>
      </c>
      <c r="X6" s="1" t="s">
        <v>151</v>
      </c>
      <c r="Y6" s="1"/>
      <c r="Z6" s="1" t="s">
        <v>237</v>
      </c>
      <c r="AA6" s="1" t="s">
        <v>226</v>
      </c>
      <c r="AB6" s="1" t="s">
        <v>151</v>
      </c>
      <c r="AC6" s="1"/>
      <c r="AD6" s="1" t="s">
        <v>235</v>
      </c>
      <c r="AE6" s="1" t="s">
        <v>226</v>
      </c>
      <c r="AF6" s="1" t="s">
        <v>151</v>
      </c>
      <c r="AG6" s="1"/>
      <c r="AH6" s="1" t="s">
        <v>234</v>
      </c>
      <c r="AI6" s="1" t="s">
        <v>226</v>
      </c>
      <c r="AJ6" s="1" t="s">
        <v>151</v>
      </c>
      <c r="AK6" s="1"/>
      <c r="AL6" s="1" t="s">
        <v>228</v>
      </c>
      <c r="AM6" s="1" t="s">
        <v>226</v>
      </c>
      <c r="AN6" s="1" t="s">
        <v>151</v>
      </c>
      <c r="AO6" s="1"/>
      <c r="AP6" s="1" t="s">
        <v>231</v>
      </c>
      <c r="AQ6" s="1" t="s">
        <v>226</v>
      </c>
      <c r="AR6" s="1" t="s">
        <v>151</v>
      </c>
      <c r="AS6" s="1"/>
      <c r="AT6" s="1" t="s">
        <v>230</v>
      </c>
    </row>
    <row r="7" spans="1:46" ht="119" x14ac:dyDescent="0.2">
      <c r="A7" s="6" t="s">
        <v>49</v>
      </c>
      <c r="B7" s="5" t="s">
        <v>7</v>
      </c>
      <c r="C7" s="1" t="s">
        <v>226</v>
      </c>
      <c r="D7" s="8" t="s">
        <v>151</v>
      </c>
      <c r="E7" s="1"/>
      <c r="F7" s="1" t="s">
        <v>246</v>
      </c>
      <c r="G7" s="1" t="s">
        <v>226</v>
      </c>
      <c r="H7" s="1" t="s">
        <v>151</v>
      </c>
      <c r="I7" s="1"/>
      <c r="J7" s="3" t="s">
        <v>245</v>
      </c>
      <c r="K7" s="1" t="s">
        <v>226</v>
      </c>
      <c r="L7" s="1" t="s">
        <v>151</v>
      </c>
      <c r="M7" s="1"/>
      <c r="N7" s="1" t="s">
        <v>242</v>
      </c>
      <c r="O7" s="1" t="s">
        <v>226</v>
      </c>
      <c r="P7" s="1" t="s">
        <v>151</v>
      </c>
      <c r="Q7" s="1"/>
      <c r="R7" s="1" t="s">
        <v>240</v>
      </c>
      <c r="S7" s="1" t="s">
        <v>226</v>
      </c>
      <c r="T7" s="1" t="s">
        <v>151</v>
      </c>
      <c r="U7" s="1"/>
      <c r="V7" s="1" t="s">
        <v>238</v>
      </c>
      <c r="W7" s="1" t="s">
        <v>226</v>
      </c>
      <c r="X7" s="1" t="s">
        <v>151</v>
      </c>
      <c r="Y7" s="1"/>
      <c r="Z7" s="1" t="s">
        <v>237</v>
      </c>
      <c r="AA7" s="1" t="s">
        <v>226</v>
      </c>
      <c r="AB7" s="1" t="s">
        <v>151</v>
      </c>
      <c r="AC7" s="1"/>
      <c r="AD7" s="1" t="s">
        <v>235</v>
      </c>
      <c r="AE7" s="1" t="s">
        <v>226</v>
      </c>
      <c r="AF7" s="1" t="s">
        <v>151</v>
      </c>
      <c r="AG7" s="1"/>
      <c r="AH7" s="1" t="s">
        <v>234</v>
      </c>
      <c r="AI7" s="1" t="s">
        <v>226</v>
      </c>
      <c r="AJ7" s="1" t="s">
        <v>151</v>
      </c>
      <c r="AK7" s="1"/>
      <c r="AL7" s="1" t="s">
        <v>228</v>
      </c>
      <c r="AM7" s="1" t="s">
        <v>226</v>
      </c>
      <c r="AN7" s="1" t="s">
        <v>151</v>
      </c>
      <c r="AO7" s="1"/>
      <c r="AP7" s="1" t="s">
        <v>231</v>
      </c>
      <c r="AQ7" s="1" t="s">
        <v>226</v>
      </c>
      <c r="AR7" s="1" t="s">
        <v>151</v>
      </c>
      <c r="AS7" s="1"/>
      <c r="AT7" s="1" t="s">
        <v>230</v>
      </c>
    </row>
    <row r="8" spans="1:46" ht="119" x14ac:dyDescent="0.2">
      <c r="A8" s="6" t="s">
        <v>50</v>
      </c>
      <c r="B8" s="5" t="s">
        <v>7</v>
      </c>
      <c r="C8" s="1" t="s">
        <v>226</v>
      </c>
      <c r="D8" s="8">
        <v>2.2000000000000001E-3</v>
      </c>
      <c r="E8" s="1"/>
      <c r="F8" s="1" t="s">
        <v>246</v>
      </c>
      <c r="G8" s="1" t="s">
        <v>226</v>
      </c>
      <c r="H8" s="1">
        <v>0.23</v>
      </c>
      <c r="I8" s="1"/>
      <c r="J8" s="3" t="s">
        <v>245</v>
      </c>
      <c r="K8" s="1" t="s">
        <v>226</v>
      </c>
      <c r="L8" s="1">
        <v>0.22</v>
      </c>
      <c r="M8" s="1"/>
      <c r="N8" s="1" t="s">
        <v>242</v>
      </c>
      <c r="O8" s="1" t="s">
        <v>226</v>
      </c>
      <c r="P8" s="1">
        <v>0.22</v>
      </c>
      <c r="Q8" s="1"/>
      <c r="R8" s="1" t="s">
        <v>240</v>
      </c>
      <c r="S8" s="1" t="s">
        <v>226</v>
      </c>
      <c r="T8" s="1">
        <v>0.22</v>
      </c>
      <c r="U8" s="1"/>
      <c r="V8" s="1" t="s">
        <v>238</v>
      </c>
      <c r="W8" s="1" t="s">
        <v>226</v>
      </c>
      <c r="X8" s="1">
        <v>0.22</v>
      </c>
      <c r="Y8" s="1"/>
      <c r="Z8" s="1" t="s">
        <v>237</v>
      </c>
      <c r="AA8" s="1" t="s">
        <v>226</v>
      </c>
      <c r="AB8" s="1">
        <v>0.19</v>
      </c>
      <c r="AC8" s="1"/>
      <c r="AD8" s="1" t="s">
        <v>235</v>
      </c>
      <c r="AE8" s="1" t="s">
        <v>226</v>
      </c>
      <c r="AF8" s="1">
        <v>0.23</v>
      </c>
      <c r="AG8" s="1"/>
      <c r="AH8" s="1" t="s">
        <v>234</v>
      </c>
      <c r="AI8" s="1" t="s">
        <v>226</v>
      </c>
      <c r="AJ8" s="1">
        <v>0.23</v>
      </c>
      <c r="AK8" s="1"/>
      <c r="AL8" s="1" t="s">
        <v>228</v>
      </c>
      <c r="AM8" s="1" t="s">
        <v>226</v>
      </c>
      <c r="AN8" s="1">
        <v>0.24</v>
      </c>
      <c r="AO8" s="1"/>
      <c r="AP8" s="1" t="s">
        <v>231</v>
      </c>
      <c r="AQ8" s="1" t="s">
        <v>226</v>
      </c>
      <c r="AR8" s="1">
        <v>0.2</v>
      </c>
      <c r="AS8" s="1"/>
      <c r="AT8" s="1" t="s">
        <v>230</v>
      </c>
    </row>
    <row r="9" spans="1:46" ht="119" x14ac:dyDescent="0.2">
      <c r="A9" s="6" t="s">
        <v>3</v>
      </c>
      <c r="B9" s="5" t="s">
        <v>2</v>
      </c>
      <c r="C9" s="1" t="s">
        <v>227</v>
      </c>
      <c r="D9" s="8">
        <v>5.0000000000000001E-4</v>
      </c>
      <c r="E9" s="1"/>
      <c r="F9" s="1" t="s">
        <v>246</v>
      </c>
      <c r="G9" s="1" t="s">
        <v>227</v>
      </c>
      <c r="H9" s="1">
        <v>0.05</v>
      </c>
      <c r="I9" s="1"/>
      <c r="J9" s="3" t="s">
        <v>245</v>
      </c>
      <c r="K9" s="1" t="s">
        <v>227</v>
      </c>
      <c r="L9" s="1">
        <v>0.05</v>
      </c>
      <c r="M9" s="1"/>
      <c r="N9" s="1" t="s">
        <v>242</v>
      </c>
      <c r="O9" s="1" t="s">
        <v>227</v>
      </c>
      <c r="P9" s="1">
        <v>0.05</v>
      </c>
      <c r="Q9" s="1"/>
      <c r="R9" s="1" t="s">
        <v>240</v>
      </c>
      <c r="S9" s="1" t="s">
        <v>227</v>
      </c>
      <c r="T9" s="1">
        <v>0.05</v>
      </c>
      <c r="U9" s="1"/>
      <c r="V9" s="1" t="s">
        <v>238</v>
      </c>
      <c r="W9" s="1" t="s">
        <v>227</v>
      </c>
      <c r="X9" s="1">
        <v>0.05</v>
      </c>
      <c r="Y9" s="1"/>
      <c r="Z9" s="1" t="s">
        <v>237</v>
      </c>
      <c r="AA9" s="1" t="s">
        <v>227</v>
      </c>
      <c r="AB9" s="1">
        <v>0.05</v>
      </c>
      <c r="AC9" s="1"/>
      <c r="AD9" s="1" t="s">
        <v>235</v>
      </c>
      <c r="AE9" s="1" t="s">
        <v>227</v>
      </c>
      <c r="AF9" s="1">
        <v>0.05</v>
      </c>
      <c r="AG9" s="1"/>
      <c r="AH9" s="1" t="s">
        <v>234</v>
      </c>
      <c r="AI9" s="1" t="s">
        <v>227</v>
      </c>
      <c r="AJ9" s="1"/>
      <c r="AK9" s="1"/>
      <c r="AL9" s="1" t="s">
        <v>228</v>
      </c>
      <c r="AM9" s="1" t="s">
        <v>227</v>
      </c>
      <c r="AN9" s="1">
        <v>0.05</v>
      </c>
      <c r="AO9" s="1"/>
      <c r="AP9" s="1" t="s">
        <v>231</v>
      </c>
      <c r="AQ9" s="1" t="s">
        <v>227</v>
      </c>
      <c r="AR9" s="1">
        <v>0.05</v>
      </c>
      <c r="AS9" s="1"/>
      <c r="AT9" s="1" t="s">
        <v>230</v>
      </c>
    </row>
    <row r="10" spans="1:46" ht="119" x14ac:dyDescent="0.2">
      <c r="A10" s="6" t="s">
        <v>5</v>
      </c>
      <c r="B10" s="5" t="s">
        <v>2</v>
      </c>
      <c r="C10" s="1" t="s">
        <v>227</v>
      </c>
      <c r="D10" s="6">
        <v>0.13</v>
      </c>
      <c r="E10" s="1"/>
      <c r="F10" s="1" t="s">
        <v>246</v>
      </c>
      <c r="G10" s="1" t="s">
        <v>227</v>
      </c>
      <c r="H10" s="1">
        <v>0.13</v>
      </c>
      <c r="I10" s="1"/>
      <c r="J10" s="3" t="s">
        <v>245</v>
      </c>
      <c r="K10" s="1" t="s">
        <v>227</v>
      </c>
      <c r="L10" s="1">
        <v>0.13</v>
      </c>
      <c r="M10" s="1"/>
      <c r="N10" s="1" t="s">
        <v>242</v>
      </c>
      <c r="O10" s="1" t="s">
        <v>227</v>
      </c>
      <c r="P10" s="1">
        <v>0.13</v>
      </c>
      <c r="Q10" s="1"/>
      <c r="R10" s="1" t="s">
        <v>240</v>
      </c>
      <c r="S10" s="1" t="s">
        <v>227</v>
      </c>
      <c r="T10" s="1">
        <v>0.13</v>
      </c>
      <c r="U10" s="1"/>
      <c r="V10" s="1" t="s">
        <v>238</v>
      </c>
      <c r="W10" s="1" t="s">
        <v>227</v>
      </c>
      <c r="X10" s="1">
        <v>0.12</v>
      </c>
      <c r="Y10" s="1"/>
      <c r="Z10" s="1" t="s">
        <v>237</v>
      </c>
      <c r="AA10" s="1" t="s">
        <v>227</v>
      </c>
      <c r="AB10" s="1">
        <v>0.12</v>
      </c>
      <c r="AC10" s="1"/>
      <c r="AD10" s="1" t="s">
        <v>235</v>
      </c>
      <c r="AE10" s="1" t="s">
        <v>227</v>
      </c>
      <c r="AF10" s="1">
        <v>0.12</v>
      </c>
      <c r="AG10" s="1"/>
      <c r="AH10" s="1" t="s">
        <v>234</v>
      </c>
      <c r="AI10" s="1" t="s">
        <v>227</v>
      </c>
      <c r="AJ10" s="1">
        <v>0.12</v>
      </c>
      <c r="AK10" s="1"/>
      <c r="AL10" s="1" t="s">
        <v>228</v>
      </c>
      <c r="AM10" s="1" t="s">
        <v>227</v>
      </c>
      <c r="AN10" s="1">
        <v>0.12</v>
      </c>
      <c r="AO10" s="1"/>
      <c r="AP10" s="1" t="s">
        <v>231</v>
      </c>
      <c r="AQ10" s="1" t="s">
        <v>227</v>
      </c>
      <c r="AR10" s="1">
        <v>0.12</v>
      </c>
      <c r="AS10" s="1"/>
      <c r="AT10" s="1" t="s">
        <v>230</v>
      </c>
    </row>
    <row r="11" spans="1:46" ht="187" x14ac:dyDescent="0.2">
      <c r="D11" s="1"/>
      <c r="E11" s="1"/>
      <c r="F11" s="1" t="s">
        <v>244</v>
      </c>
      <c r="G11" s="1"/>
      <c r="H11" s="1"/>
      <c r="I11" s="1"/>
      <c r="J11" s="1" t="s">
        <v>244</v>
      </c>
      <c r="K11" s="1"/>
      <c r="L11" s="1"/>
      <c r="M11" s="1"/>
      <c r="N11" s="1" t="s">
        <v>243</v>
      </c>
      <c r="O11" s="1"/>
      <c r="P11" s="1"/>
      <c r="Q11" s="1"/>
      <c r="R11" s="1" t="s">
        <v>241</v>
      </c>
      <c r="S11" s="1"/>
      <c r="T11" s="1"/>
      <c r="U11" s="1"/>
      <c r="V11" s="1" t="s">
        <v>239</v>
      </c>
      <c r="W11" s="1"/>
      <c r="X11" s="1"/>
      <c r="Y11" s="1"/>
      <c r="Z11" s="1" t="s">
        <v>233</v>
      </c>
      <c r="AA11" s="1"/>
      <c r="AB11" s="1"/>
      <c r="AC11" s="1"/>
      <c r="AD11" s="1" t="s">
        <v>236</v>
      </c>
      <c r="AE11" s="1"/>
      <c r="AF11" s="1"/>
      <c r="AG11" s="1"/>
      <c r="AH11" s="1" t="s">
        <v>233</v>
      </c>
      <c r="AI11" s="1"/>
      <c r="AJ11" s="1"/>
      <c r="AK11" s="1"/>
      <c r="AL11" s="1" t="s">
        <v>225</v>
      </c>
      <c r="AM11" s="1"/>
      <c r="AN11" s="1"/>
      <c r="AO11" s="1"/>
      <c r="AP11" s="1" t="s">
        <v>232</v>
      </c>
      <c r="AQ11" s="1"/>
      <c r="AR11" s="1"/>
      <c r="AS11" s="1"/>
      <c r="AT11" s="1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951F-403A-DB46-BE2E-A407BEFC17EB}">
  <dimension ref="A1:G23"/>
  <sheetViews>
    <sheetView workbookViewId="0">
      <selection sqref="A1:XFD1"/>
    </sheetView>
  </sheetViews>
  <sheetFormatPr baseColWidth="10" defaultRowHeight="16" x14ac:dyDescent="0.2"/>
  <cols>
    <col min="1" max="5" width="10.83203125" style="3"/>
    <col min="6" max="6" width="15.6640625" style="3" customWidth="1"/>
    <col min="7" max="7" width="32.1640625" style="3" customWidth="1"/>
    <col min="8" max="16384" width="10.83203125" style="3"/>
  </cols>
  <sheetData>
    <row r="1" spans="1:7" ht="116" customHeight="1" x14ac:dyDescent="0.2">
      <c r="A1" s="5" t="s">
        <v>14</v>
      </c>
      <c r="B1" s="6"/>
      <c r="C1" s="5"/>
      <c r="D1" s="5" t="s">
        <v>198</v>
      </c>
      <c r="E1" s="6">
        <f>(0.8+(0.79*3)+0.78)/5</f>
        <v>0.79</v>
      </c>
      <c r="F1" s="6" t="s">
        <v>91</v>
      </c>
      <c r="G1" s="6" t="s">
        <v>92</v>
      </c>
    </row>
    <row r="3" spans="1:7" x14ac:dyDescent="0.2">
      <c r="A3" s="9" t="s">
        <v>250</v>
      </c>
      <c r="B3" s="9" t="s">
        <v>202</v>
      </c>
      <c r="C3" s="9" t="s">
        <v>203</v>
      </c>
      <c r="D3" s="9" t="s">
        <v>204</v>
      </c>
    </row>
    <row r="4" spans="1:7" x14ac:dyDescent="0.2">
      <c r="A4" s="9" t="s">
        <v>205</v>
      </c>
      <c r="B4" s="3" t="s">
        <v>206</v>
      </c>
      <c r="C4" s="3">
        <v>0.27</v>
      </c>
      <c r="D4" s="3">
        <v>0.8</v>
      </c>
    </row>
    <row r="5" spans="1:7" x14ac:dyDescent="0.2">
      <c r="A5" s="9"/>
      <c r="B5" s="3" t="s">
        <v>207</v>
      </c>
      <c r="C5" s="3">
        <v>0.25</v>
      </c>
      <c r="D5" s="3">
        <v>0.79</v>
      </c>
    </row>
    <row r="6" spans="1:7" x14ac:dyDescent="0.2">
      <c r="A6" s="9"/>
      <c r="B6" s="3" t="s">
        <v>208</v>
      </c>
      <c r="D6" s="3">
        <v>0.78</v>
      </c>
    </row>
    <row r="7" spans="1:7" x14ac:dyDescent="0.2">
      <c r="A7" s="9"/>
      <c r="B7" s="3" t="s">
        <v>209</v>
      </c>
      <c r="C7" s="3">
        <v>0.21</v>
      </c>
      <c r="D7" s="3">
        <v>0.79</v>
      </c>
    </row>
    <row r="8" spans="1:7" x14ac:dyDescent="0.2">
      <c r="A8" s="9"/>
      <c r="B8" s="3" t="s">
        <v>210</v>
      </c>
      <c r="C8" s="3">
        <v>0.36</v>
      </c>
      <c r="D8" s="3">
        <v>0.79</v>
      </c>
    </row>
    <row r="9" spans="1:7" x14ac:dyDescent="0.2">
      <c r="A9" s="9" t="s">
        <v>211</v>
      </c>
      <c r="B9" s="3" t="s">
        <v>212</v>
      </c>
      <c r="D9" s="3">
        <v>5.14</v>
      </c>
      <c r="E9" s="3">
        <v>5.29</v>
      </c>
      <c r="F9" s="9" t="s">
        <v>220</v>
      </c>
    </row>
    <row r="10" spans="1:7" x14ac:dyDescent="0.2">
      <c r="B10" s="3" t="s">
        <v>213</v>
      </c>
      <c r="D10" s="3">
        <v>3.13</v>
      </c>
      <c r="E10" s="3">
        <v>4.04</v>
      </c>
    </row>
    <row r="11" spans="1:7" x14ac:dyDescent="0.2">
      <c r="B11" s="3" t="s">
        <v>214</v>
      </c>
      <c r="D11" s="3">
        <v>4.17</v>
      </c>
      <c r="E11" s="3">
        <v>5.04</v>
      </c>
    </row>
    <row r="12" spans="1:7" x14ac:dyDescent="0.2">
      <c r="B12" s="3" t="s">
        <v>215</v>
      </c>
      <c r="D12" s="3">
        <v>5.92</v>
      </c>
      <c r="E12" s="3">
        <v>6.88</v>
      </c>
    </row>
    <row r="13" spans="1:7" x14ac:dyDescent="0.2">
      <c r="B13" s="3" t="s">
        <v>216</v>
      </c>
      <c r="D13" s="3">
        <v>3.95</v>
      </c>
      <c r="E13" s="3">
        <v>5.36</v>
      </c>
    </row>
    <row r="14" spans="1:7" x14ac:dyDescent="0.2">
      <c r="B14" s="3" t="s">
        <v>217</v>
      </c>
      <c r="D14" s="3">
        <v>3.9</v>
      </c>
      <c r="E14" s="3">
        <v>4.68</v>
      </c>
    </row>
    <row r="15" spans="1:7" x14ac:dyDescent="0.2">
      <c r="B15" s="3" t="s">
        <v>218</v>
      </c>
      <c r="D15" s="3">
        <v>3.96</v>
      </c>
      <c r="E15" s="3">
        <v>4.55</v>
      </c>
    </row>
    <row r="16" spans="1:7" x14ac:dyDescent="0.2">
      <c r="B16" s="3" t="s">
        <v>219</v>
      </c>
      <c r="D16" s="3">
        <v>3.97</v>
      </c>
      <c r="E16" s="3">
        <v>4.88</v>
      </c>
    </row>
    <row r="19" spans="1:5" x14ac:dyDescent="0.2">
      <c r="A19" s="9" t="s">
        <v>250</v>
      </c>
      <c r="B19" s="3" t="s">
        <v>247</v>
      </c>
      <c r="C19" s="3">
        <f>AVERAGE(C4:C5,C7:C8)</f>
        <v>0.27249999999999996</v>
      </c>
      <c r="D19" s="3">
        <f>AVERAGE(D9:E16)</f>
        <v>4.67875</v>
      </c>
    </row>
    <row r="22" spans="1:5" ht="170" x14ac:dyDescent="0.2">
      <c r="A22" s="5" t="s">
        <v>248</v>
      </c>
      <c r="B22" s="5" t="s">
        <v>16</v>
      </c>
      <c r="C22" s="6" t="s">
        <v>93</v>
      </c>
      <c r="D22" s="7" t="s">
        <v>94</v>
      </c>
      <c r="E22" s="6" t="s">
        <v>95</v>
      </c>
    </row>
    <row r="23" spans="1:5" ht="102" x14ac:dyDescent="0.2">
      <c r="A23" s="5" t="s">
        <v>249</v>
      </c>
      <c r="B23" s="5" t="s">
        <v>17</v>
      </c>
      <c r="C23" s="6" t="s">
        <v>96</v>
      </c>
      <c r="D23" s="6" t="s">
        <v>98</v>
      </c>
      <c r="E23" s="6" t="s">
        <v>97</v>
      </c>
    </row>
  </sheetData>
  <hyperlinks>
    <hyperlink ref="D22" r:id="rId1" xr:uid="{4817DFBA-91A2-4C40-B471-95EB69CB45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A5C1-DA20-E741-ADFB-3ED9D87AFE10}">
  <dimension ref="A1:N27"/>
  <sheetViews>
    <sheetView tabSelected="1" workbookViewId="0">
      <selection sqref="A1:XFD1048576"/>
    </sheetView>
  </sheetViews>
  <sheetFormatPr baseColWidth="10" defaultRowHeight="16" x14ac:dyDescent="0.2"/>
  <cols>
    <col min="1" max="12" width="10.83203125" style="3"/>
    <col min="13" max="13" width="32" style="17" customWidth="1"/>
    <col min="14" max="14" width="10.83203125" style="17"/>
    <col min="15" max="16384" width="10.83203125" style="3"/>
  </cols>
  <sheetData>
    <row r="1" spans="1:14" ht="153" x14ac:dyDescent="0.2">
      <c r="A1" s="1" t="s">
        <v>259</v>
      </c>
      <c r="B1" s="2" t="s">
        <v>260</v>
      </c>
      <c r="C1" s="2" t="s">
        <v>261</v>
      </c>
      <c r="D1" s="2" t="s">
        <v>262</v>
      </c>
      <c r="E1" s="1" t="s">
        <v>263</v>
      </c>
      <c r="F1" s="1" t="s">
        <v>264</v>
      </c>
      <c r="G1" s="1" t="s">
        <v>263</v>
      </c>
      <c r="H1" s="2" t="s">
        <v>303</v>
      </c>
      <c r="I1" s="1"/>
      <c r="J1" s="2" t="s">
        <v>304</v>
      </c>
      <c r="K1" s="1"/>
      <c r="L1" s="1" t="s">
        <v>263</v>
      </c>
      <c r="M1" s="16" t="s">
        <v>336</v>
      </c>
      <c r="N1" s="16" t="s">
        <v>337</v>
      </c>
    </row>
    <row r="2" spans="1:14" x14ac:dyDescent="0.2">
      <c r="A2" s="3" t="s">
        <v>265</v>
      </c>
      <c r="B2" s="3">
        <v>7.75</v>
      </c>
      <c r="C2" s="3">
        <v>32</v>
      </c>
      <c r="D2" s="3">
        <v>425</v>
      </c>
      <c r="E2" s="3" t="s">
        <v>266</v>
      </c>
      <c r="F2" s="3">
        <v>4</v>
      </c>
      <c r="G2" s="3" t="s">
        <v>266</v>
      </c>
      <c r="H2" s="3">
        <f>F2*10</f>
        <v>40</v>
      </c>
      <c r="J2" s="3">
        <f>20*F2</f>
        <v>80</v>
      </c>
      <c r="L2" s="3" t="s">
        <v>266</v>
      </c>
      <c r="M2" s="17" t="s">
        <v>305</v>
      </c>
      <c r="N2" s="17" t="s">
        <v>306</v>
      </c>
    </row>
    <row r="3" spans="1:14" x14ac:dyDescent="0.2">
      <c r="A3" s="3" t="s">
        <v>267</v>
      </c>
      <c r="B3" s="3">
        <v>25</v>
      </c>
      <c r="C3" s="3">
        <v>137</v>
      </c>
      <c r="D3" s="3">
        <v>1070</v>
      </c>
      <c r="E3" s="3" t="s">
        <v>266</v>
      </c>
      <c r="F3" s="3">
        <v>4</v>
      </c>
      <c r="G3" s="3" t="s">
        <v>266</v>
      </c>
      <c r="H3" s="3">
        <f t="shared" ref="H3:H18" si="0">F3*10</f>
        <v>40</v>
      </c>
      <c r="J3" s="3">
        <f t="shared" ref="J3:J16" si="1">20*F3</f>
        <v>80</v>
      </c>
      <c r="L3" s="3" t="s">
        <v>266</v>
      </c>
      <c r="M3" s="17" t="s">
        <v>307</v>
      </c>
      <c r="N3" s="17" t="s">
        <v>308</v>
      </c>
    </row>
    <row r="4" spans="1:14" x14ac:dyDescent="0.2">
      <c r="A4" s="3" t="s">
        <v>268</v>
      </c>
      <c r="B4" s="3">
        <v>54.5</v>
      </c>
      <c r="C4" s="3">
        <v>148.5</v>
      </c>
      <c r="D4" s="3">
        <v>1370</v>
      </c>
      <c r="E4" s="3" t="s">
        <v>266</v>
      </c>
      <c r="F4" s="3">
        <v>4</v>
      </c>
      <c r="G4" s="3" t="s">
        <v>266</v>
      </c>
      <c r="H4" s="3">
        <f t="shared" si="0"/>
        <v>40</v>
      </c>
      <c r="J4" s="3">
        <f t="shared" si="1"/>
        <v>80</v>
      </c>
      <c r="L4" s="3" t="s">
        <v>266</v>
      </c>
      <c r="M4" s="17" t="s">
        <v>309</v>
      </c>
      <c r="N4" s="17" t="s">
        <v>310</v>
      </c>
    </row>
    <row r="5" spans="1:14" x14ac:dyDescent="0.2">
      <c r="A5" s="3" t="s">
        <v>269</v>
      </c>
      <c r="B5" s="3">
        <v>18</v>
      </c>
      <c r="C5" s="3">
        <v>106.47499999999999</v>
      </c>
      <c r="D5" s="3">
        <v>1727.7</v>
      </c>
      <c r="E5" s="3" t="s">
        <v>266</v>
      </c>
      <c r="F5" s="3">
        <v>4</v>
      </c>
      <c r="G5" s="3" t="s">
        <v>266</v>
      </c>
      <c r="H5" s="3">
        <f t="shared" si="0"/>
        <v>40</v>
      </c>
      <c r="J5" s="3">
        <f t="shared" si="1"/>
        <v>80</v>
      </c>
      <c r="L5" s="3" t="s">
        <v>266</v>
      </c>
      <c r="M5" s="17" t="s">
        <v>311</v>
      </c>
      <c r="N5" s="17" t="s">
        <v>312</v>
      </c>
    </row>
    <row r="6" spans="1:14" x14ac:dyDescent="0.2">
      <c r="A6" s="3" t="s">
        <v>270</v>
      </c>
      <c r="B6" s="3">
        <v>179</v>
      </c>
      <c r="C6" s="3">
        <v>470.5</v>
      </c>
      <c r="D6" s="3">
        <v>2720</v>
      </c>
      <c r="E6" s="3" t="s">
        <v>266</v>
      </c>
      <c r="F6" s="3">
        <v>4</v>
      </c>
      <c r="G6" s="3" t="s">
        <v>266</v>
      </c>
      <c r="H6" s="3">
        <f t="shared" si="0"/>
        <v>40</v>
      </c>
      <c r="J6" s="3">
        <f t="shared" si="1"/>
        <v>80</v>
      </c>
      <c r="L6" s="3" t="s">
        <v>266</v>
      </c>
      <c r="M6" s="17" t="s">
        <v>313</v>
      </c>
      <c r="N6" s="17" t="s">
        <v>314</v>
      </c>
    </row>
    <row r="7" spans="1:14" x14ac:dyDescent="0.2">
      <c r="A7" s="3" t="s">
        <v>271</v>
      </c>
      <c r="B7" s="3">
        <v>205.375</v>
      </c>
      <c r="C7" s="3">
        <v>2605</v>
      </c>
      <c r="D7" s="3">
        <v>9220</v>
      </c>
      <c r="E7" s="3" t="s">
        <v>266</v>
      </c>
      <c r="F7" s="3">
        <v>4</v>
      </c>
      <c r="G7" s="3" t="s">
        <v>266</v>
      </c>
      <c r="H7" s="3">
        <f t="shared" si="0"/>
        <v>40</v>
      </c>
      <c r="J7" s="3">
        <f t="shared" si="1"/>
        <v>80</v>
      </c>
      <c r="L7" s="3" t="s">
        <v>266</v>
      </c>
      <c r="M7" s="17" t="s">
        <v>315</v>
      </c>
      <c r="N7" s="17" t="s">
        <v>316</v>
      </c>
    </row>
    <row r="8" spans="1:14" x14ac:dyDescent="0.2">
      <c r="A8" s="3" t="s">
        <v>272</v>
      </c>
      <c r="B8" s="3">
        <v>209.375</v>
      </c>
      <c r="C8" s="3">
        <v>256</v>
      </c>
      <c r="D8" s="3">
        <v>1254.5</v>
      </c>
      <c r="E8" s="3" t="s">
        <v>273</v>
      </c>
      <c r="F8" s="3">
        <v>1.2</v>
      </c>
      <c r="G8" s="3" t="s">
        <v>273</v>
      </c>
      <c r="H8" s="3">
        <f t="shared" si="0"/>
        <v>12</v>
      </c>
      <c r="J8" s="3">
        <f t="shared" si="1"/>
        <v>24</v>
      </c>
      <c r="L8" s="3" t="s">
        <v>273</v>
      </c>
      <c r="M8" s="17" t="s">
        <v>317</v>
      </c>
      <c r="N8" s="17" t="s">
        <v>318</v>
      </c>
    </row>
    <row r="9" spans="1:14" x14ac:dyDescent="0.2">
      <c r="A9" s="3" t="s">
        <v>274</v>
      </c>
      <c r="B9" s="3">
        <v>211</v>
      </c>
      <c r="C9" s="3">
        <v>439</v>
      </c>
      <c r="D9" s="3">
        <v>969.5</v>
      </c>
      <c r="E9" s="3" t="s">
        <v>275</v>
      </c>
      <c r="F9" s="3">
        <v>60</v>
      </c>
      <c r="G9" s="3" t="s">
        <v>275</v>
      </c>
      <c r="H9" s="3">
        <f t="shared" si="0"/>
        <v>600</v>
      </c>
      <c r="J9" s="3">
        <f t="shared" si="1"/>
        <v>1200</v>
      </c>
      <c r="L9" s="3" t="s">
        <v>275</v>
      </c>
      <c r="M9" s="17" t="s">
        <v>319</v>
      </c>
      <c r="N9" s="17" t="s">
        <v>320</v>
      </c>
    </row>
    <row r="10" spans="1:14" x14ac:dyDescent="0.2">
      <c r="A10" s="3" t="s">
        <v>276</v>
      </c>
      <c r="B10" s="3">
        <v>8690</v>
      </c>
      <c r="C10" s="3">
        <v>15100</v>
      </c>
      <c r="D10" s="3">
        <v>50000</v>
      </c>
      <c r="E10" s="3" t="s">
        <v>275</v>
      </c>
      <c r="F10" s="3">
        <v>60</v>
      </c>
      <c r="G10" s="3" t="s">
        <v>275</v>
      </c>
      <c r="H10" s="3">
        <f t="shared" si="0"/>
        <v>600</v>
      </c>
      <c r="J10" s="3">
        <f t="shared" si="1"/>
        <v>1200</v>
      </c>
      <c r="L10" s="3" t="s">
        <v>275</v>
      </c>
      <c r="M10" s="17" t="s">
        <v>321</v>
      </c>
      <c r="N10" s="17" t="s">
        <v>322</v>
      </c>
    </row>
    <row r="11" spans="1:14" x14ac:dyDescent="0.2">
      <c r="A11" s="3" t="s">
        <v>277</v>
      </c>
      <c r="B11" s="3">
        <v>775.5</v>
      </c>
      <c r="C11" s="3">
        <v>1567</v>
      </c>
      <c r="D11" s="3">
        <v>2294</v>
      </c>
      <c r="E11" s="3" t="s">
        <v>278</v>
      </c>
      <c r="F11" s="3">
        <v>84</v>
      </c>
      <c r="G11" s="3" t="s">
        <v>278</v>
      </c>
      <c r="H11" s="3">
        <f t="shared" si="0"/>
        <v>840</v>
      </c>
      <c r="J11" s="3">
        <f t="shared" si="1"/>
        <v>1680</v>
      </c>
      <c r="L11" s="3" t="s">
        <v>278</v>
      </c>
      <c r="M11" s="17" t="s">
        <v>323</v>
      </c>
      <c r="N11" s="17" t="s">
        <v>324</v>
      </c>
    </row>
    <row r="12" spans="1:14" x14ac:dyDescent="0.2">
      <c r="A12" s="3" t="s">
        <v>279</v>
      </c>
      <c r="B12" s="3">
        <v>16.5</v>
      </c>
      <c r="C12" s="3">
        <v>95</v>
      </c>
      <c r="D12" s="3">
        <v>255</v>
      </c>
      <c r="E12" s="3" t="s">
        <v>280</v>
      </c>
      <c r="F12" s="3">
        <v>7.4999999999999997E-2</v>
      </c>
      <c r="G12" s="3" t="s">
        <v>280</v>
      </c>
      <c r="H12" s="3">
        <f t="shared" si="0"/>
        <v>0.75</v>
      </c>
      <c r="J12" s="3">
        <f t="shared" si="1"/>
        <v>1.5</v>
      </c>
      <c r="L12" s="3" t="s">
        <v>280</v>
      </c>
      <c r="M12" s="17" t="s">
        <v>325</v>
      </c>
      <c r="N12" s="17" t="s">
        <v>326</v>
      </c>
    </row>
    <row r="13" spans="1:14" x14ac:dyDescent="0.2">
      <c r="A13" s="3" t="s">
        <v>281</v>
      </c>
      <c r="B13" s="3">
        <v>3</v>
      </c>
      <c r="C13" s="3">
        <v>8</v>
      </c>
      <c r="D13" s="3">
        <v>50</v>
      </c>
      <c r="E13" s="3" t="s">
        <v>280</v>
      </c>
      <c r="F13" s="3">
        <v>7.4999999999999997E-2</v>
      </c>
      <c r="G13" s="3" t="s">
        <v>280</v>
      </c>
      <c r="H13" s="3">
        <f t="shared" si="0"/>
        <v>0.75</v>
      </c>
      <c r="J13" s="3">
        <f t="shared" si="1"/>
        <v>1.5</v>
      </c>
      <c r="L13" s="3" t="s">
        <v>280</v>
      </c>
      <c r="M13" s="17" t="s">
        <v>327</v>
      </c>
      <c r="N13" s="17" t="s">
        <v>328</v>
      </c>
    </row>
    <row r="14" spans="1:14" x14ac:dyDescent="0.2">
      <c r="A14" s="3" t="s">
        <v>282</v>
      </c>
      <c r="B14" s="3">
        <v>821.25</v>
      </c>
      <c r="C14" s="3">
        <v>5300</v>
      </c>
      <c r="D14" s="3">
        <v>183500</v>
      </c>
      <c r="E14" s="3" t="s">
        <v>283</v>
      </c>
      <c r="F14" s="3">
        <v>70</v>
      </c>
      <c r="G14" s="3" t="s">
        <v>283</v>
      </c>
      <c r="H14" s="3">
        <f t="shared" si="0"/>
        <v>700</v>
      </c>
      <c r="J14" s="3">
        <f t="shared" si="1"/>
        <v>1400</v>
      </c>
      <c r="L14" s="3" t="s">
        <v>283</v>
      </c>
      <c r="M14" s="17" t="s">
        <v>329</v>
      </c>
      <c r="N14" s="17" t="s">
        <v>330</v>
      </c>
    </row>
    <row r="15" spans="1:14" x14ac:dyDescent="0.2">
      <c r="A15" s="3" t="s">
        <v>284</v>
      </c>
      <c r="B15" s="3">
        <v>179.875</v>
      </c>
      <c r="C15" s="3">
        <v>1780</v>
      </c>
      <c r="D15" s="3">
        <v>9450</v>
      </c>
      <c r="E15" s="3" t="s">
        <v>283</v>
      </c>
      <c r="F15" s="3">
        <v>70</v>
      </c>
      <c r="G15" s="3" t="s">
        <v>283</v>
      </c>
      <c r="H15" s="3">
        <f t="shared" si="0"/>
        <v>700</v>
      </c>
      <c r="J15" s="3">
        <f t="shared" si="1"/>
        <v>1400</v>
      </c>
      <c r="L15" s="3" t="s">
        <v>283</v>
      </c>
      <c r="M15" s="17" t="s">
        <v>331</v>
      </c>
      <c r="N15" s="17" t="s">
        <v>332</v>
      </c>
    </row>
    <row r="16" spans="1:14" x14ac:dyDescent="0.2">
      <c r="A16" s="3" t="s">
        <v>285</v>
      </c>
      <c r="B16" s="3">
        <v>1699.6344999999999</v>
      </c>
      <c r="C16" s="3">
        <v>4074.5940000000001</v>
      </c>
      <c r="D16" s="3">
        <v>25121.9722</v>
      </c>
      <c r="E16" s="3" t="s">
        <v>286</v>
      </c>
      <c r="F16" s="3">
        <v>58</v>
      </c>
      <c r="G16" s="3" t="s">
        <v>286</v>
      </c>
      <c r="H16" s="3">
        <f t="shared" si="0"/>
        <v>580</v>
      </c>
      <c r="J16" s="3">
        <f t="shared" si="1"/>
        <v>1160</v>
      </c>
      <c r="L16" s="3" t="s">
        <v>286</v>
      </c>
    </row>
    <row r="17" spans="1:14" x14ac:dyDescent="0.2">
      <c r="A17" s="3" t="s">
        <v>80</v>
      </c>
      <c r="B17" s="3">
        <v>1.6897499999999999E-2</v>
      </c>
      <c r="C17" s="3">
        <v>6.9949999999999998E-2</v>
      </c>
      <c r="D17" s="3">
        <v>0.26910000000000001</v>
      </c>
      <c r="E17" s="3" t="s">
        <v>287</v>
      </c>
      <c r="F17" s="3" t="s">
        <v>288</v>
      </c>
      <c r="G17" s="3" t="s">
        <v>289</v>
      </c>
      <c r="H17" s="3" t="s">
        <v>290</v>
      </c>
      <c r="J17" s="3" t="s">
        <v>291</v>
      </c>
      <c r="L17" s="3" t="s">
        <v>289</v>
      </c>
      <c r="M17" s="17" t="s">
        <v>333</v>
      </c>
      <c r="N17" s="17" t="s">
        <v>334</v>
      </c>
    </row>
    <row r="18" spans="1:14" x14ac:dyDescent="0.2">
      <c r="A18" s="3" t="s">
        <v>292</v>
      </c>
      <c r="B18" s="3">
        <v>135000</v>
      </c>
      <c r="C18" s="3">
        <v>154000</v>
      </c>
      <c r="D18" s="3">
        <v>254000</v>
      </c>
      <c r="E18" s="3" t="s">
        <v>293</v>
      </c>
      <c r="F18" s="4">
        <v>56300</v>
      </c>
      <c r="G18" s="3" t="s">
        <v>293</v>
      </c>
      <c r="H18" s="3">
        <f t="shared" si="0"/>
        <v>563000</v>
      </c>
      <c r="L18" s="3" t="s">
        <v>293</v>
      </c>
      <c r="N18" s="17" t="s">
        <v>335</v>
      </c>
    </row>
    <row r="20" spans="1:14" x14ac:dyDescent="0.2">
      <c r="A20" s="3" t="s">
        <v>302</v>
      </c>
    </row>
    <row r="21" spans="1:14" x14ac:dyDescent="0.2">
      <c r="E21" s="3" t="s">
        <v>299</v>
      </c>
      <c r="F21" s="3" t="s">
        <v>301</v>
      </c>
    </row>
    <row r="23" spans="1:14" x14ac:dyDescent="0.2">
      <c r="E23" s="3" t="s">
        <v>300</v>
      </c>
      <c r="F23" s="3" t="s">
        <v>294</v>
      </c>
    </row>
    <row r="24" spans="1:14" x14ac:dyDescent="0.2">
      <c r="F24" s="3" t="s">
        <v>295</v>
      </c>
    </row>
    <row r="25" spans="1:14" x14ac:dyDescent="0.2">
      <c r="F25" s="3" t="s">
        <v>296</v>
      </c>
    </row>
    <row r="26" spans="1:14" x14ac:dyDescent="0.2">
      <c r="F26" s="3" t="s">
        <v>297</v>
      </c>
    </row>
    <row r="27" spans="1:14" x14ac:dyDescent="0.2">
      <c r="F27" s="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Publicly reported cutoff grades</vt:lpstr>
      <vt:lpstr>Porphyry example</vt:lpstr>
      <vt:lpstr>Carlin example</vt:lpstr>
      <vt:lpstr>Cutoff scenarios in this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Karlie Hadden (Student)</dc:creator>
  <cp:lastModifiedBy>E Holley</cp:lastModifiedBy>
  <dcterms:created xsi:type="dcterms:W3CDTF">2025-04-23T22:44:19Z</dcterms:created>
  <dcterms:modified xsi:type="dcterms:W3CDTF">2025-07-18T04:21:22Z</dcterms:modified>
</cp:coreProperties>
</file>